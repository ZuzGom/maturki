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360" yWindow="60" windowWidth="11292" windowHeight="5580" activeTab="1"/>
  </bookViews>
  <sheets>
    <sheet name="a b" sheetId="4" r:id="rId1"/>
    <sheet name="d f" sheetId="6" r:id="rId2"/>
    <sheet name="Arkusz1" sheetId="1" r:id="rId3"/>
    <sheet name="Arkusz5" sheetId="5" r:id="rId4"/>
  </sheets>
  <calcPr calcId="124519"/>
  <pivotCaches>
    <pivotCache cacheId="0" r:id="rId5"/>
  </pivotCaches>
</workbook>
</file>

<file path=xl/calcChain.xml><?xml version="1.0" encoding="utf-8"?>
<calcChain xmlns="http://schemas.openxmlformats.org/spreadsheetml/2006/main">
  <c r="I2" i="1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E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H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G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F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P2" l="1"/>
</calcChain>
</file>

<file path=xl/sharedStrings.xml><?xml version="1.0" encoding="utf-8"?>
<sst xmlns="http://schemas.openxmlformats.org/spreadsheetml/2006/main" count="215" uniqueCount="27">
  <si>
    <t>data</t>
  </si>
  <si>
    <t>kostka</t>
  </si>
  <si>
    <t>orzech</t>
  </si>
  <si>
    <t>miał</t>
  </si>
  <si>
    <t>kcena</t>
  </si>
  <si>
    <t>ocena</t>
  </si>
  <si>
    <t>mcena</t>
  </si>
  <si>
    <t>Suma końcowa</t>
  </si>
  <si>
    <t>suma</t>
  </si>
  <si>
    <t>miesiąc</t>
  </si>
  <si>
    <t>październik</t>
  </si>
  <si>
    <t>listopad</t>
  </si>
  <si>
    <t>grudzień</t>
  </si>
  <si>
    <t>styczeń</t>
  </si>
  <si>
    <t>luty</t>
  </si>
  <si>
    <t>marzec</t>
  </si>
  <si>
    <t>kwiecień</t>
  </si>
  <si>
    <t>c</t>
  </si>
  <si>
    <t>(puste)</t>
  </si>
  <si>
    <t>czym</t>
  </si>
  <si>
    <t>czym palono</t>
  </si>
  <si>
    <t>ile dni</t>
  </si>
  <si>
    <t>e</t>
  </si>
  <si>
    <t>Wartości</t>
  </si>
  <si>
    <t>Suma z kostka</t>
  </si>
  <si>
    <t>Suma z orzech</t>
  </si>
  <si>
    <t>Suma z miał</t>
  </si>
</sst>
</file>

<file path=xl/styles.xml><?xml version="1.0" encoding="utf-8"?>
<styleSheet xmlns="http://schemas.openxmlformats.org/spreadsheetml/2006/main">
  <numFmts count="1">
    <numFmt numFmtId="164" formatCode="#,##0.00\ &quot;zł&quot;"/>
  </numFmts>
  <fonts count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1" xfId="0" applyNumberFormat="1" applyFont="1" applyBorder="1"/>
  </cellXfs>
  <cellStyles count="1">
    <cellStyle name="Normalny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[sloneczko.xlsm]a b!Tabela przestawna1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suma wegla</a:t>
            </a:r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'a b'!$B$3:$B$4</c:f>
              <c:strCache>
                <c:ptCount val="1"/>
                <c:pt idx="0">
                  <c:v>Suma z kostka</c:v>
                </c:pt>
              </c:strCache>
            </c:strRef>
          </c:tx>
          <c:cat>
            <c:strRef>
              <c:f>'a b'!$A$5:$A$12</c:f>
              <c:strCache>
                <c:ptCount val="7"/>
                <c:pt idx="0">
                  <c:v>październik</c:v>
                </c:pt>
                <c:pt idx="1">
                  <c:v>listopad</c:v>
                </c:pt>
                <c:pt idx="2">
                  <c:v>grudzień</c:v>
                </c:pt>
                <c:pt idx="3">
                  <c:v>styczeń</c:v>
                </c:pt>
                <c:pt idx="4">
                  <c:v>luty</c:v>
                </c:pt>
                <c:pt idx="5">
                  <c:v>marzec</c:v>
                </c:pt>
                <c:pt idx="6">
                  <c:v>kwiecień</c:v>
                </c:pt>
              </c:strCache>
            </c:strRef>
          </c:cat>
          <c:val>
            <c:numRef>
              <c:f>'a b'!$B$5:$B$12</c:f>
              <c:numCache>
                <c:formatCode>General</c:formatCode>
                <c:ptCount val="7"/>
                <c:pt idx="0">
                  <c:v>1742</c:v>
                </c:pt>
                <c:pt idx="1">
                  <c:v>2756</c:v>
                </c:pt>
                <c:pt idx="2">
                  <c:v>2696</c:v>
                </c:pt>
                <c:pt idx="3">
                  <c:v>2990</c:v>
                </c:pt>
                <c:pt idx="4">
                  <c:v>2579</c:v>
                </c:pt>
                <c:pt idx="5">
                  <c:v>3332</c:v>
                </c:pt>
                <c:pt idx="6">
                  <c:v>1365</c:v>
                </c:pt>
              </c:numCache>
            </c:numRef>
          </c:val>
        </c:ser>
        <c:ser>
          <c:idx val="1"/>
          <c:order val="1"/>
          <c:tx>
            <c:strRef>
              <c:f>'a b'!$C$3:$C$4</c:f>
              <c:strCache>
                <c:ptCount val="1"/>
                <c:pt idx="0">
                  <c:v>Suma z orzech</c:v>
                </c:pt>
              </c:strCache>
            </c:strRef>
          </c:tx>
          <c:cat>
            <c:strRef>
              <c:f>'a b'!$A$5:$A$12</c:f>
              <c:strCache>
                <c:ptCount val="7"/>
                <c:pt idx="0">
                  <c:v>październik</c:v>
                </c:pt>
                <c:pt idx="1">
                  <c:v>listopad</c:v>
                </c:pt>
                <c:pt idx="2">
                  <c:v>grudzień</c:v>
                </c:pt>
                <c:pt idx="3">
                  <c:v>styczeń</c:v>
                </c:pt>
                <c:pt idx="4">
                  <c:v>luty</c:v>
                </c:pt>
                <c:pt idx="5">
                  <c:v>marzec</c:v>
                </c:pt>
                <c:pt idx="6">
                  <c:v>kwiecień</c:v>
                </c:pt>
              </c:strCache>
            </c:strRef>
          </c:cat>
          <c:val>
            <c:numRef>
              <c:f>'a b'!$C$5:$C$12</c:f>
              <c:numCache>
                <c:formatCode>General</c:formatCode>
                <c:ptCount val="7"/>
                <c:pt idx="0">
                  <c:v>1658</c:v>
                </c:pt>
                <c:pt idx="1">
                  <c:v>2884</c:v>
                </c:pt>
                <c:pt idx="2">
                  <c:v>2749</c:v>
                </c:pt>
                <c:pt idx="3">
                  <c:v>2870</c:v>
                </c:pt>
                <c:pt idx="4">
                  <c:v>2651</c:v>
                </c:pt>
                <c:pt idx="5">
                  <c:v>3026</c:v>
                </c:pt>
                <c:pt idx="6">
                  <c:v>966</c:v>
                </c:pt>
              </c:numCache>
            </c:numRef>
          </c:val>
        </c:ser>
        <c:ser>
          <c:idx val="2"/>
          <c:order val="2"/>
          <c:tx>
            <c:strRef>
              <c:f>'a b'!$D$3:$D$4</c:f>
              <c:strCache>
                <c:ptCount val="1"/>
                <c:pt idx="0">
                  <c:v>Suma z miał</c:v>
                </c:pt>
              </c:strCache>
            </c:strRef>
          </c:tx>
          <c:cat>
            <c:strRef>
              <c:f>'a b'!$A$5:$A$12</c:f>
              <c:strCache>
                <c:ptCount val="7"/>
                <c:pt idx="0">
                  <c:v>październik</c:v>
                </c:pt>
                <c:pt idx="1">
                  <c:v>listopad</c:v>
                </c:pt>
                <c:pt idx="2">
                  <c:v>grudzień</c:v>
                </c:pt>
                <c:pt idx="3">
                  <c:v>styczeń</c:v>
                </c:pt>
                <c:pt idx="4">
                  <c:v>luty</c:v>
                </c:pt>
                <c:pt idx="5">
                  <c:v>marzec</c:v>
                </c:pt>
                <c:pt idx="6">
                  <c:v>kwiecień</c:v>
                </c:pt>
              </c:strCache>
            </c:strRef>
          </c:cat>
          <c:val>
            <c:numRef>
              <c:f>'a b'!$D$5:$D$12</c:f>
              <c:numCache>
                <c:formatCode>General</c:formatCode>
                <c:ptCount val="7"/>
                <c:pt idx="0">
                  <c:v>915</c:v>
                </c:pt>
                <c:pt idx="1">
                  <c:v>1750</c:v>
                </c:pt>
                <c:pt idx="2">
                  <c:v>1586</c:v>
                </c:pt>
                <c:pt idx="3">
                  <c:v>1646</c:v>
                </c:pt>
                <c:pt idx="4">
                  <c:v>1252</c:v>
                </c:pt>
                <c:pt idx="5">
                  <c:v>1360</c:v>
                </c:pt>
                <c:pt idx="6">
                  <c:v>706</c:v>
                </c:pt>
              </c:numCache>
            </c:numRef>
          </c:val>
        </c:ser>
        <c:dLbls/>
        <c:axId val="123824000"/>
        <c:axId val="123825536"/>
      </c:barChart>
      <c:catAx>
        <c:axId val="123824000"/>
        <c:scaling>
          <c:orientation val="minMax"/>
        </c:scaling>
        <c:axPos val="b"/>
        <c:majorTickMark val="none"/>
        <c:tickLblPos val="nextTo"/>
        <c:crossAx val="123825536"/>
        <c:crosses val="autoZero"/>
        <c:auto val="1"/>
        <c:lblAlgn val="ctr"/>
        <c:lblOffset val="100"/>
      </c:catAx>
      <c:valAx>
        <c:axId val="12382553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suma wegla</a:t>
                </a:r>
              </a:p>
              <a:p>
                <a:pPr>
                  <a:defRPr/>
                </a:pPr>
                <a:endParaRPr lang="pl-PL"/>
              </a:p>
            </c:rich>
          </c:tx>
          <c:layout/>
        </c:title>
        <c:numFmt formatCode="General" sourceLinked="1"/>
        <c:majorTickMark val="none"/>
        <c:tickLblPos val="nextTo"/>
        <c:crossAx val="12382400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91440</xdr:colOff>
      <xdr:row>3</xdr:row>
      <xdr:rowOff>30480</xdr:rowOff>
    </xdr:from>
    <xdr:to>
      <xdr:col>16</xdr:col>
      <xdr:colOff>60960</xdr:colOff>
      <xdr:row>24</xdr:row>
      <xdr:rowOff>0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4656.743244097219" createdVersion="3" refreshedVersion="3" minRefreshableVersion="3" recordCount="183">
  <cacheSource type="worksheet">
    <worksheetSource name="Tabela1"/>
  </cacheSource>
  <cacheFields count="10">
    <cacheField name="data" numFmtId="14">
      <sharedItems containsSemiMixedTypes="0" containsNonDate="0" containsDate="1" containsString="0" minDate="2014-10-15T00:00:00" maxDate="2015-04-16T00:00:00"/>
    </cacheField>
    <cacheField name="kostka" numFmtId="0">
      <sharedItems containsSemiMixedTypes="0" containsString="0" containsNumber="1" containsInteger="1" minValue="0" maxValue="200"/>
    </cacheField>
    <cacheField name="orzech" numFmtId="0">
      <sharedItems containsSemiMixedTypes="0" containsString="0" containsNumber="1" containsInteger="1" minValue="1" maxValue="191"/>
    </cacheField>
    <cacheField name="miał" numFmtId="0">
      <sharedItems containsSemiMixedTypes="0" containsString="0" containsNumber="1" containsInteger="1" minValue="0" maxValue="99"/>
    </cacheField>
    <cacheField name="suma" numFmtId="0">
      <sharedItems containsSemiMixedTypes="0" containsString="0" containsNumber="1" containsInteger="1" minValue="34" maxValue="403"/>
    </cacheField>
    <cacheField name="kcena" numFmtId="0">
      <sharedItems containsSemiMixedTypes="0" containsString="0" containsNumber="1" containsInteger="1" minValue="0" maxValue="137000"/>
    </cacheField>
    <cacheField name="ocena" numFmtId="0">
      <sharedItems containsSemiMixedTypes="0" containsString="0" containsNumber="1" containsInteger="1" minValue="630" maxValue="120330"/>
    </cacheField>
    <cacheField name="mcena" numFmtId="0">
      <sharedItems containsSemiMixedTypes="0" containsString="0" containsNumber="1" containsInteger="1" minValue="0" maxValue="37620"/>
    </cacheField>
    <cacheField name="miesiąc" numFmtId="0">
      <sharedItems containsMixedTypes="1" containsNumber="1" containsInteger="1" minValue="1" maxValue="12" count="14">
        <s v="październik"/>
        <s v="listopad"/>
        <s v="grudzień"/>
        <s v="styczeń"/>
        <s v="luty"/>
        <s v="marzec"/>
        <s v="kwiecień"/>
        <n v="2" u="1"/>
        <n v="1" u="1"/>
        <n v="3" u="1"/>
        <n v="10" u="1"/>
        <n v="11" u="1"/>
        <n v="4" u="1"/>
        <n v="12" u="1"/>
      </sharedItems>
    </cacheField>
    <cacheField name="czym" numFmtId="0">
      <sharedItems containsBlank="1" count="4">
        <s v="kostka"/>
        <s v="orzech"/>
        <s v="miał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3">
  <r>
    <d v="2014-10-15T00:00:00"/>
    <n v="200"/>
    <n v="120"/>
    <n v="81"/>
    <n v="401"/>
    <n v="137000"/>
    <n v="75600"/>
    <n v="30780"/>
    <x v="0"/>
    <x v="0"/>
  </r>
  <r>
    <d v="2014-10-16T00:00:00"/>
    <n v="100"/>
    <n v="135"/>
    <n v="33"/>
    <n v="268"/>
    <n v="68500"/>
    <n v="85050"/>
    <n v="12540"/>
    <x v="0"/>
    <x v="1"/>
  </r>
  <r>
    <d v="2014-10-17T00:00:00"/>
    <n v="50"/>
    <n v="29"/>
    <n v="85"/>
    <n v="164"/>
    <n v="34250"/>
    <n v="18270"/>
    <n v="32300"/>
    <x v="0"/>
    <x v="0"/>
  </r>
  <r>
    <d v="2014-10-18T00:00:00"/>
    <n v="68"/>
    <n v="107"/>
    <n v="84"/>
    <n v="259"/>
    <n v="46580"/>
    <n v="67410"/>
    <n v="31920"/>
    <x v="0"/>
    <x v="2"/>
  </r>
  <r>
    <d v="2014-10-19T00:00:00"/>
    <n v="75"/>
    <n v="49"/>
    <n v="23"/>
    <n v="147"/>
    <n v="51375"/>
    <n v="30870"/>
    <n v="8740"/>
    <x v="0"/>
    <x v="1"/>
  </r>
  <r>
    <d v="2014-10-20T00:00:00"/>
    <n v="109"/>
    <n v="90"/>
    <n v="48"/>
    <n v="247"/>
    <n v="74665"/>
    <n v="56700"/>
    <n v="18240"/>
    <x v="0"/>
    <x v="0"/>
  </r>
  <r>
    <d v="2014-10-21T00:00:00"/>
    <n v="161"/>
    <n v="2"/>
    <n v="16"/>
    <n v="179"/>
    <n v="110285"/>
    <n v="1260"/>
    <n v="6080"/>
    <x v="0"/>
    <x v="0"/>
  </r>
  <r>
    <d v="2014-10-22T00:00:00"/>
    <n v="97"/>
    <n v="129"/>
    <n v="43"/>
    <n v="269"/>
    <n v="66445"/>
    <n v="81270"/>
    <n v="16340"/>
    <x v="0"/>
    <x v="3"/>
  </r>
  <r>
    <d v="2014-10-23T00:00:00"/>
    <n v="25"/>
    <n v="186"/>
    <n v="4"/>
    <n v="215"/>
    <n v="17125"/>
    <n v="117180"/>
    <n v="1520"/>
    <x v="0"/>
    <x v="1"/>
  </r>
  <r>
    <d v="2014-10-24T00:00:00"/>
    <n v="113"/>
    <n v="97"/>
    <n v="97"/>
    <n v="307"/>
    <n v="77405"/>
    <n v="61110"/>
    <n v="36860"/>
    <x v="0"/>
    <x v="0"/>
  </r>
  <r>
    <d v="2014-10-25T00:00:00"/>
    <n v="70"/>
    <n v="12"/>
    <n v="53"/>
    <n v="135"/>
    <n v="47950"/>
    <n v="7560"/>
    <n v="20140"/>
    <x v="0"/>
    <x v="2"/>
  </r>
  <r>
    <d v="2014-10-26T00:00:00"/>
    <n v="117"/>
    <n v="142"/>
    <n v="90"/>
    <n v="349"/>
    <n v="80145"/>
    <n v="89460"/>
    <n v="34200"/>
    <x v="0"/>
    <x v="0"/>
  </r>
  <r>
    <d v="2014-10-27T00:00:00"/>
    <n v="189"/>
    <n v="28"/>
    <n v="43"/>
    <n v="260"/>
    <n v="129465"/>
    <n v="17640"/>
    <n v="16340"/>
    <x v="0"/>
    <x v="0"/>
  </r>
  <r>
    <d v="2014-10-28T00:00:00"/>
    <n v="140"/>
    <n v="191"/>
    <n v="40"/>
    <n v="371"/>
    <n v="95900"/>
    <n v="120330"/>
    <n v="15200"/>
    <x v="0"/>
    <x v="1"/>
  </r>
  <r>
    <d v="2014-10-29T00:00:00"/>
    <n v="167"/>
    <n v="48"/>
    <n v="30"/>
    <n v="245"/>
    <n v="114395"/>
    <n v="30240"/>
    <n v="11400"/>
    <x v="0"/>
    <x v="0"/>
  </r>
  <r>
    <d v="2014-10-30T00:00:00"/>
    <n v="0"/>
    <n v="154"/>
    <n v="68"/>
    <n v="222"/>
    <n v="0"/>
    <n v="97020"/>
    <n v="25840"/>
    <x v="0"/>
    <x v="1"/>
  </r>
  <r>
    <d v="2014-10-31T00:00:00"/>
    <n v="61"/>
    <n v="139"/>
    <n v="77"/>
    <n v="277"/>
    <n v="41785"/>
    <n v="87570"/>
    <n v="29260"/>
    <x v="0"/>
    <x v="0"/>
  </r>
  <r>
    <d v="2014-11-01T00:00:00"/>
    <n v="18"/>
    <n v="163"/>
    <n v="75"/>
    <n v="256"/>
    <n v="12330"/>
    <n v="102690"/>
    <n v="28500"/>
    <x v="1"/>
    <x v="1"/>
  </r>
  <r>
    <d v="2014-11-02T00:00:00"/>
    <n v="43"/>
    <n v="169"/>
    <n v="0"/>
    <n v="212"/>
    <n v="29455"/>
    <n v="106470"/>
    <n v="0"/>
    <x v="1"/>
    <x v="1"/>
  </r>
  <r>
    <d v="2014-11-03T00:00:00"/>
    <n v="160"/>
    <n v="135"/>
    <n v="34"/>
    <n v="329"/>
    <n v="109600"/>
    <n v="85050"/>
    <n v="12920"/>
    <x v="1"/>
    <x v="0"/>
  </r>
  <r>
    <d v="2014-11-04T00:00:00"/>
    <n v="150"/>
    <n v="89"/>
    <n v="17"/>
    <n v="256"/>
    <n v="102750"/>
    <n v="56070"/>
    <n v="6460"/>
    <x v="1"/>
    <x v="1"/>
  </r>
  <r>
    <d v="2014-11-05T00:00:00"/>
    <n v="57"/>
    <n v="109"/>
    <n v="93"/>
    <n v="259"/>
    <n v="39045"/>
    <n v="68670"/>
    <n v="35340"/>
    <x v="1"/>
    <x v="0"/>
  </r>
  <r>
    <d v="2014-11-06T00:00:00"/>
    <n v="62"/>
    <n v="80"/>
    <n v="62"/>
    <n v="204"/>
    <n v="42470"/>
    <n v="50400"/>
    <n v="23560"/>
    <x v="1"/>
    <x v="1"/>
  </r>
  <r>
    <d v="2014-11-07T00:00:00"/>
    <n v="162"/>
    <n v="62"/>
    <n v="88"/>
    <n v="312"/>
    <n v="110970"/>
    <n v="39060"/>
    <n v="33440"/>
    <x v="1"/>
    <x v="0"/>
  </r>
  <r>
    <d v="2014-11-08T00:00:00"/>
    <n v="142"/>
    <n v="79"/>
    <n v="76"/>
    <n v="297"/>
    <n v="97270"/>
    <n v="49770"/>
    <n v="28880"/>
    <x v="1"/>
    <x v="0"/>
  </r>
  <r>
    <d v="2014-11-09T00:00:00"/>
    <n v="7"/>
    <n v="30"/>
    <n v="68"/>
    <n v="105"/>
    <n v="4795"/>
    <n v="18900"/>
    <n v="25840"/>
    <x v="1"/>
    <x v="1"/>
  </r>
  <r>
    <d v="2014-11-10T00:00:00"/>
    <n v="116"/>
    <n v="6"/>
    <n v="88"/>
    <n v="210"/>
    <n v="79460"/>
    <n v="3780"/>
    <n v="33440"/>
    <x v="1"/>
    <x v="2"/>
  </r>
  <r>
    <d v="2014-11-11T00:00:00"/>
    <n v="0"/>
    <n v="1"/>
    <n v="47"/>
    <n v="48"/>
    <n v="0"/>
    <n v="630"/>
    <n v="17860"/>
    <x v="1"/>
    <x v="2"/>
  </r>
  <r>
    <d v="2014-11-12T00:00:00"/>
    <n v="78"/>
    <n v="84"/>
    <n v="16"/>
    <n v="178"/>
    <n v="53430"/>
    <n v="52920"/>
    <n v="6080"/>
    <x v="1"/>
    <x v="0"/>
  </r>
  <r>
    <d v="2014-11-13T00:00:00"/>
    <n v="112"/>
    <n v="140"/>
    <n v="97"/>
    <n v="349"/>
    <n v="76720"/>
    <n v="88200"/>
    <n v="36860"/>
    <x v="1"/>
    <x v="1"/>
  </r>
  <r>
    <d v="2014-11-14T00:00:00"/>
    <n v="109"/>
    <n v="74"/>
    <n v="53"/>
    <n v="236"/>
    <n v="74665"/>
    <n v="46620"/>
    <n v="20140"/>
    <x v="1"/>
    <x v="0"/>
  </r>
  <r>
    <d v="2014-11-15T00:00:00"/>
    <n v="121"/>
    <n v="77"/>
    <n v="70"/>
    <n v="268"/>
    <n v="82885"/>
    <n v="48510"/>
    <n v="26600"/>
    <x v="1"/>
    <x v="2"/>
  </r>
  <r>
    <d v="2014-11-16T00:00:00"/>
    <n v="106"/>
    <n v="89"/>
    <n v="75"/>
    <n v="270"/>
    <n v="72610"/>
    <n v="56070"/>
    <n v="28500"/>
    <x v="1"/>
    <x v="0"/>
  </r>
  <r>
    <d v="2014-11-17T00:00:00"/>
    <n v="57"/>
    <n v="119"/>
    <n v="64"/>
    <n v="240"/>
    <n v="39045"/>
    <n v="74970"/>
    <n v="24320"/>
    <x v="1"/>
    <x v="1"/>
  </r>
  <r>
    <d v="2014-11-18T00:00:00"/>
    <n v="26"/>
    <n v="87"/>
    <n v="84"/>
    <n v="197"/>
    <n v="17810"/>
    <n v="54810"/>
    <n v="31920"/>
    <x v="1"/>
    <x v="2"/>
  </r>
  <r>
    <d v="2014-11-19T00:00:00"/>
    <n v="79"/>
    <n v="171"/>
    <n v="75"/>
    <n v="325"/>
    <n v="54115"/>
    <n v="107730"/>
    <n v="28500"/>
    <x v="1"/>
    <x v="0"/>
  </r>
  <r>
    <d v="2014-11-20T00:00:00"/>
    <n v="192"/>
    <n v="151"/>
    <n v="45"/>
    <n v="388"/>
    <n v="131520"/>
    <n v="95130"/>
    <n v="17100"/>
    <x v="1"/>
    <x v="0"/>
  </r>
  <r>
    <d v="2014-11-21T00:00:00"/>
    <n v="9"/>
    <n v="64"/>
    <n v="22"/>
    <n v="95"/>
    <n v="6165"/>
    <n v="40320"/>
    <n v="8360"/>
    <x v="1"/>
    <x v="1"/>
  </r>
  <r>
    <d v="2014-11-22T00:00:00"/>
    <n v="123"/>
    <n v="150"/>
    <n v="10"/>
    <n v="283"/>
    <n v="84255"/>
    <n v="94500"/>
    <n v="3800"/>
    <x v="1"/>
    <x v="1"/>
  </r>
  <r>
    <d v="2014-11-23T00:00:00"/>
    <n v="87"/>
    <n v="123"/>
    <n v="33"/>
    <n v="243"/>
    <n v="59595"/>
    <n v="77490"/>
    <n v="12540"/>
    <x v="1"/>
    <x v="0"/>
  </r>
  <r>
    <d v="2014-11-24T00:00:00"/>
    <n v="165"/>
    <n v="88"/>
    <n v="13"/>
    <n v="266"/>
    <n v="113025"/>
    <n v="55440"/>
    <n v="4940"/>
    <x v="1"/>
    <x v="0"/>
  </r>
  <r>
    <d v="2014-11-25T00:00:00"/>
    <n v="144"/>
    <n v="78"/>
    <n v="82"/>
    <n v="304"/>
    <n v="98640"/>
    <n v="49140"/>
    <n v="31160"/>
    <x v="1"/>
    <x v="1"/>
  </r>
  <r>
    <d v="2014-11-26T00:00:00"/>
    <n v="54"/>
    <n v="38"/>
    <n v="68"/>
    <n v="160"/>
    <n v="36990"/>
    <n v="23940"/>
    <n v="25840"/>
    <x v="1"/>
    <x v="0"/>
  </r>
  <r>
    <d v="2014-11-27T00:00:00"/>
    <n v="188"/>
    <n v="44"/>
    <n v="86"/>
    <n v="318"/>
    <n v="128780"/>
    <n v="27720"/>
    <n v="32680"/>
    <x v="1"/>
    <x v="1"/>
  </r>
  <r>
    <d v="2014-11-28T00:00:00"/>
    <n v="165"/>
    <n v="170"/>
    <n v="62"/>
    <n v="397"/>
    <n v="113025"/>
    <n v="107100"/>
    <n v="23560"/>
    <x v="1"/>
    <x v="0"/>
  </r>
  <r>
    <d v="2014-11-29T00:00:00"/>
    <n v="24"/>
    <n v="94"/>
    <n v="87"/>
    <n v="205"/>
    <n v="16440"/>
    <n v="59220"/>
    <n v="33060"/>
    <x v="1"/>
    <x v="1"/>
  </r>
  <r>
    <d v="2014-11-30T00:00:00"/>
    <n v="0"/>
    <n v="120"/>
    <n v="60"/>
    <n v="180"/>
    <n v="0"/>
    <n v="75600"/>
    <n v="22800"/>
    <x v="1"/>
    <x v="2"/>
  </r>
  <r>
    <d v="2014-12-01T00:00:00"/>
    <n v="101"/>
    <n v="53"/>
    <n v="62"/>
    <n v="216"/>
    <n v="69185"/>
    <n v="33390"/>
    <n v="23560"/>
    <x v="2"/>
    <x v="0"/>
  </r>
  <r>
    <d v="2014-12-02T00:00:00"/>
    <n v="67"/>
    <n v="147"/>
    <n v="20"/>
    <n v="234"/>
    <n v="45895"/>
    <n v="92610"/>
    <n v="7600"/>
    <x v="2"/>
    <x v="1"/>
  </r>
  <r>
    <d v="2014-12-03T00:00:00"/>
    <n v="109"/>
    <n v="99"/>
    <n v="70"/>
    <n v="278"/>
    <n v="74665"/>
    <n v="62370"/>
    <n v="26600"/>
    <x v="2"/>
    <x v="0"/>
  </r>
  <r>
    <d v="2014-12-04T00:00:00"/>
    <n v="22"/>
    <n v="16"/>
    <n v="59"/>
    <n v="97"/>
    <n v="15070"/>
    <n v="10080"/>
    <n v="22420"/>
    <x v="2"/>
    <x v="2"/>
  </r>
  <r>
    <d v="2014-12-05T00:00:00"/>
    <n v="5"/>
    <n v="91"/>
    <n v="73"/>
    <n v="169"/>
    <n v="3425"/>
    <n v="57330"/>
    <n v="27740"/>
    <x v="2"/>
    <x v="1"/>
  </r>
  <r>
    <d v="2014-12-06T00:00:00"/>
    <n v="105"/>
    <n v="154"/>
    <n v="48"/>
    <n v="307"/>
    <n v="71925"/>
    <n v="97020"/>
    <n v="18240"/>
    <x v="2"/>
    <x v="2"/>
  </r>
  <r>
    <d v="2014-12-07T00:00:00"/>
    <n v="108"/>
    <n v="5"/>
    <n v="71"/>
    <n v="184"/>
    <n v="73980"/>
    <n v="3150"/>
    <n v="26980"/>
    <x v="2"/>
    <x v="0"/>
  </r>
  <r>
    <d v="2014-12-08T00:00:00"/>
    <n v="64"/>
    <n v="37"/>
    <n v="89"/>
    <n v="190"/>
    <n v="43840"/>
    <n v="23310"/>
    <n v="33820"/>
    <x v="2"/>
    <x v="1"/>
  </r>
  <r>
    <d v="2014-12-09T00:00:00"/>
    <n v="114"/>
    <n v="140"/>
    <n v="36"/>
    <n v="290"/>
    <n v="78090"/>
    <n v="88200"/>
    <n v="13680"/>
    <x v="2"/>
    <x v="0"/>
  </r>
  <r>
    <d v="2014-12-10T00:00:00"/>
    <n v="147"/>
    <n v="140"/>
    <n v="61"/>
    <n v="348"/>
    <n v="100695"/>
    <n v="88200"/>
    <n v="23180"/>
    <x v="2"/>
    <x v="0"/>
  </r>
  <r>
    <d v="2014-12-11T00:00:00"/>
    <n v="69"/>
    <n v="120"/>
    <n v="52"/>
    <n v="241"/>
    <n v="47265"/>
    <n v="75600"/>
    <n v="19760"/>
    <x v="2"/>
    <x v="1"/>
  </r>
  <r>
    <d v="2014-12-12T00:00:00"/>
    <n v="101"/>
    <n v="39"/>
    <n v="10"/>
    <n v="150"/>
    <n v="69185"/>
    <n v="24570"/>
    <n v="3800"/>
    <x v="2"/>
    <x v="2"/>
  </r>
  <r>
    <d v="2014-12-13T00:00:00"/>
    <n v="158"/>
    <n v="36"/>
    <n v="79"/>
    <n v="273"/>
    <n v="108230"/>
    <n v="22680"/>
    <n v="30020"/>
    <x v="2"/>
    <x v="0"/>
  </r>
  <r>
    <d v="2014-12-14T00:00:00"/>
    <n v="79"/>
    <n v="105"/>
    <n v="73"/>
    <n v="257"/>
    <n v="54115"/>
    <n v="66150"/>
    <n v="27740"/>
    <x v="2"/>
    <x v="0"/>
  </r>
  <r>
    <d v="2014-12-15T00:00:00"/>
    <n v="5"/>
    <n v="24"/>
    <n v="43"/>
    <n v="72"/>
    <n v="3425"/>
    <n v="15120"/>
    <n v="16340"/>
    <x v="2"/>
    <x v="1"/>
  </r>
  <r>
    <d v="2014-12-16T00:00:00"/>
    <n v="68"/>
    <n v="112"/>
    <n v="25"/>
    <n v="205"/>
    <n v="46580"/>
    <n v="70560"/>
    <n v="9500"/>
    <x v="2"/>
    <x v="2"/>
  </r>
  <r>
    <d v="2014-12-17T00:00:00"/>
    <n v="37"/>
    <n v="57"/>
    <n v="81"/>
    <n v="175"/>
    <n v="25345"/>
    <n v="35910"/>
    <n v="30780"/>
    <x v="2"/>
    <x v="1"/>
  </r>
  <r>
    <d v="2014-12-18T00:00:00"/>
    <n v="188"/>
    <n v="28"/>
    <n v="7"/>
    <n v="223"/>
    <n v="128780"/>
    <n v="17640"/>
    <n v="2660"/>
    <x v="2"/>
    <x v="0"/>
  </r>
  <r>
    <d v="2014-12-19T00:00:00"/>
    <n v="167"/>
    <n v="41"/>
    <n v="45"/>
    <n v="253"/>
    <n v="114395"/>
    <n v="25830"/>
    <n v="17100"/>
    <x v="2"/>
    <x v="0"/>
  </r>
  <r>
    <d v="2014-12-20T00:00:00"/>
    <n v="197"/>
    <n v="82"/>
    <n v="43"/>
    <n v="322"/>
    <n v="134945"/>
    <n v="51660"/>
    <n v="16340"/>
    <x v="2"/>
    <x v="0"/>
  </r>
  <r>
    <d v="2014-12-21T00:00:00"/>
    <n v="54"/>
    <n v="130"/>
    <n v="50"/>
    <n v="234"/>
    <n v="36990"/>
    <n v="81900"/>
    <n v="19000"/>
    <x v="2"/>
    <x v="1"/>
  </r>
  <r>
    <d v="2014-12-22T00:00:00"/>
    <n v="19"/>
    <n v="153"/>
    <n v="65"/>
    <n v="237"/>
    <n v="13015"/>
    <n v="96390"/>
    <n v="24700"/>
    <x v="2"/>
    <x v="2"/>
  </r>
  <r>
    <d v="2014-12-23T00:00:00"/>
    <n v="27"/>
    <n v="160"/>
    <n v="81"/>
    <n v="268"/>
    <n v="18495"/>
    <n v="100800"/>
    <n v="30780"/>
    <x v="2"/>
    <x v="1"/>
  </r>
  <r>
    <d v="2014-12-24T00:00:00"/>
    <n v="11"/>
    <n v="140"/>
    <n v="77"/>
    <n v="228"/>
    <n v="7535"/>
    <n v="88200"/>
    <n v="29260"/>
    <x v="2"/>
    <x v="0"/>
  </r>
  <r>
    <d v="2014-12-25T00:00:00"/>
    <n v="182"/>
    <n v="50"/>
    <n v="22"/>
    <n v="254"/>
    <n v="124670"/>
    <n v="31500"/>
    <n v="8360"/>
    <x v="2"/>
    <x v="1"/>
  </r>
  <r>
    <d v="2014-12-26T00:00:00"/>
    <n v="63"/>
    <n v="83"/>
    <n v="69"/>
    <n v="215"/>
    <n v="43155"/>
    <n v="52290"/>
    <n v="26220"/>
    <x v="2"/>
    <x v="0"/>
  </r>
  <r>
    <d v="2014-12-27T00:00:00"/>
    <n v="33"/>
    <n v="59"/>
    <n v="46"/>
    <n v="138"/>
    <n v="22605"/>
    <n v="37170"/>
    <n v="17480"/>
    <x v="2"/>
    <x v="2"/>
  </r>
  <r>
    <d v="2014-12-28T00:00:00"/>
    <n v="119"/>
    <n v="57"/>
    <n v="67"/>
    <n v="243"/>
    <n v="81515"/>
    <n v="35910"/>
    <n v="25460"/>
    <x v="2"/>
    <x v="3"/>
  </r>
  <r>
    <d v="2014-12-29T00:00:00"/>
    <n v="58"/>
    <n v="176"/>
    <n v="16"/>
    <n v="250"/>
    <n v="39730"/>
    <n v="110880"/>
    <n v="6080"/>
    <x v="2"/>
    <x v="0"/>
  </r>
  <r>
    <d v="2014-12-30T00:00:00"/>
    <n v="174"/>
    <n v="61"/>
    <n v="46"/>
    <n v="281"/>
    <n v="119190"/>
    <n v="38430"/>
    <n v="17480"/>
    <x v="2"/>
    <x v="0"/>
  </r>
  <r>
    <d v="2014-12-31T00:00:00"/>
    <n v="45"/>
    <n v="154"/>
    <n v="0"/>
    <n v="199"/>
    <n v="30825"/>
    <n v="97020"/>
    <n v="0"/>
    <x v="2"/>
    <x v="1"/>
  </r>
  <r>
    <d v="2015-01-01T00:00:00"/>
    <n v="94"/>
    <n v="120"/>
    <n v="95"/>
    <n v="309"/>
    <n v="64390"/>
    <n v="75600"/>
    <n v="36100"/>
    <x v="3"/>
    <x v="1"/>
  </r>
  <r>
    <d v="2015-01-02T00:00:00"/>
    <n v="12"/>
    <n v="5"/>
    <n v="42"/>
    <n v="59"/>
    <n v="8220"/>
    <n v="3150"/>
    <n v="15960"/>
    <x v="3"/>
    <x v="3"/>
  </r>
  <r>
    <d v="2015-01-03T00:00:00"/>
    <n v="80"/>
    <n v="170"/>
    <n v="96"/>
    <n v="346"/>
    <n v="54800"/>
    <n v="107100"/>
    <n v="36480"/>
    <x v="3"/>
    <x v="0"/>
  </r>
  <r>
    <d v="2015-01-04T00:00:00"/>
    <n v="80"/>
    <n v="10"/>
    <n v="30"/>
    <n v="120"/>
    <n v="54800"/>
    <n v="6300"/>
    <n v="11400"/>
    <x v="3"/>
    <x v="1"/>
  </r>
  <r>
    <d v="2015-01-05T00:00:00"/>
    <n v="90"/>
    <n v="80"/>
    <n v="31"/>
    <n v="201"/>
    <n v="61650"/>
    <n v="50400"/>
    <n v="11780"/>
    <x v="3"/>
    <x v="0"/>
  </r>
  <r>
    <d v="2015-01-06T00:00:00"/>
    <n v="130"/>
    <n v="163"/>
    <n v="92"/>
    <n v="385"/>
    <n v="89050"/>
    <n v="102690"/>
    <n v="34960"/>
    <x v="3"/>
    <x v="1"/>
  </r>
  <r>
    <d v="2015-01-07T00:00:00"/>
    <n v="54"/>
    <n v="7"/>
    <n v="79"/>
    <n v="140"/>
    <n v="36990"/>
    <n v="4410"/>
    <n v="30020"/>
    <x v="3"/>
    <x v="0"/>
  </r>
  <r>
    <d v="2015-01-08T00:00:00"/>
    <n v="88"/>
    <n v="125"/>
    <n v="97"/>
    <n v="310"/>
    <n v="60280"/>
    <n v="78750"/>
    <n v="36860"/>
    <x v="3"/>
    <x v="2"/>
  </r>
  <r>
    <d v="2015-01-09T00:00:00"/>
    <n v="83"/>
    <n v="85"/>
    <n v="99"/>
    <n v="267"/>
    <n v="56855"/>
    <n v="53550"/>
    <n v="37620"/>
    <x v="3"/>
    <x v="1"/>
  </r>
  <r>
    <d v="2015-01-10T00:00:00"/>
    <n v="139"/>
    <n v="155"/>
    <n v="11"/>
    <n v="305"/>
    <n v="95215"/>
    <n v="97650"/>
    <n v="4180"/>
    <x v="3"/>
    <x v="0"/>
  </r>
  <r>
    <d v="2015-01-11T00:00:00"/>
    <n v="82"/>
    <n v="43"/>
    <n v="93"/>
    <n v="218"/>
    <n v="56170"/>
    <n v="27090"/>
    <n v="35340"/>
    <x v="3"/>
    <x v="0"/>
  </r>
  <r>
    <d v="2015-01-12T00:00:00"/>
    <n v="23"/>
    <n v="40"/>
    <n v="83"/>
    <n v="146"/>
    <n v="15755"/>
    <n v="25200"/>
    <n v="31540"/>
    <x v="3"/>
    <x v="1"/>
  </r>
  <r>
    <d v="2015-01-13T00:00:00"/>
    <n v="118"/>
    <n v="165"/>
    <n v="56"/>
    <n v="339"/>
    <n v="80830"/>
    <n v="103950"/>
    <n v="21280"/>
    <x v="3"/>
    <x v="2"/>
  </r>
  <r>
    <d v="2015-01-14T00:00:00"/>
    <n v="59"/>
    <n v="35"/>
    <n v="17"/>
    <n v="111"/>
    <n v="40415"/>
    <n v="22050"/>
    <n v="6460"/>
    <x v="3"/>
    <x v="0"/>
  </r>
  <r>
    <d v="2015-01-15T00:00:00"/>
    <n v="127"/>
    <n v="58"/>
    <n v="39"/>
    <n v="224"/>
    <n v="86995"/>
    <n v="36540"/>
    <n v="14820"/>
    <x v="3"/>
    <x v="1"/>
  </r>
  <r>
    <d v="2015-01-16T00:00:00"/>
    <n v="121"/>
    <n v="175"/>
    <n v="77"/>
    <n v="373"/>
    <n v="82885"/>
    <n v="110250"/>
    <n v="29260"/>
    <x v="3"/>
    <x v="0"/>
  </r>
  <r>
    <d v="2015-01-17T00:00:00"/>
    <n v="80"/>
    <n v="101"/>
    <n v="3"/>
    <n v="184"/>
    <n v="54800"/>
    <n v="63630"/>
    <n v="1140"/>
    <x v="3"/>
    <x v="1"/>
  </r>
  <r>
    <d v="2015-01-18T00:00:00"/>
    <n v="189"/>
    <n v="161"/>
    <n v="53"/>
    <n v="403"/>
    <n v="129465"/>
    <n v="101430"/>
    <n v="20140"/>
    <x v="3"/>
    <x v="0"/>
  </r>
  <r>
    <d v="2015-01-19T00:00:00"/>
    <n v="18"/>
    <n v="61"/>
    <n v="19"/>
    <n v="98"/>
    <n v="12330"/>
    <n v="38430"/>
    <n v="7220"/>
    <x v="3"/>
    <x v="1"/>
  </r>
  <r>
    <d v="2015-01-20T00:00:00"/>
    <n v="68"/>
    <n v="127"/>
    <n v="3"/>
    <n v="198"/>
    <n v="46580"/>
    <n v="80010"/>
    <n v="1140"/>
    <x v="3"/>
    <x v="0"/>
  </r>
  <r>
    <d v="2015-01-21T00:00:00"/>
    <n v="37"/>
    <n v="112"/>
    <n v="68"/>
    <n v="217"/>
    <n v="25345"/>
    <n v="70560"/>
    <n v="25840"/>
    <x v="3"/>
    <x v="1"/>
  </r>
  <r>
    <d v="2015-01-22T00:00:00"/>
    <n v="40"/>
    <n v="140"/>
    <n v="15"/>
    <n v="195"/>
    <n v="27400"/>
    <n v="88200"/>
    <n v="5700"/>
    <x v="3"/>
    <x v="2"/>
  </r>
  <r>
    <d v="2015-01-23T00:00:00"/>
    <n v="189"/>
    <n v="87"/>
    <n v="64"/>
    <n v="340"/>
    <n v="129465"/>
    <n v="54810"/>
    <n v="24320"/>
    <x v="3"/>
    <x v="0"/>
  </r>
  <r>
    <d v="2015-01-24T00:00:00"/>
    <n v="145"/>
    <n v="18"/>
    <n v="1"/>
    <n v="164"/>
    <n v="99325"/>
    <n v="11340"/>
    <n v="380"/>
    <x v="3"/>
    <x v="0"/>
  </r>
  <r>
    <d v="2015-01-25T00:00:00"/>
    <n v="148"/>
    <n v="27"/>
    <n v="13"/>
    <n v="188"/>
    <n v="101380"/>
    <n v="17010"/>
    <n v="4940"/>
    <x v="3"/>
    <x v="1"/>
  </r>
  <r>
    <d v="2015-01-26T00:00:00"/>
    <n v="127"/>
    <n v="161"/>
    <n v="31"/>
    <n v="319"/>
    <n v="86995"/>
    <n v="101430"/>
    <n v="11780"/>
    <x v="3"/>
    <x v="0"/>
  </r>
  <r>
    <d v="2015-01-27T00:00:00"/>
    <n v="131"/>
    <n v="1"/>
    <n v="98"/>
    <n v="230"/>
    <n v="89735"/>
    <n v="630"/>
    <n v="37240"/>
    <x v="3"/>
    <x v="0"/>
  </r>
  <r>
    <d v="2015-01-28T00:00:00"/>
    <n v="142"/>
    <n v="131"/>
    <n v="62"/>
    <n v="335"/>
    <n v="97270"/>
    <n v="82530"/>
    <n v="23560"/>
    <x v="3"/>
    <x v="1"/>
  </r>
  <r>
    <d v="2015-01-29T00:00:00"/>
    <n v="121"/>
    <n v="150"/>
    <n v="25"/>
    <n v="296"/>
    <n v="82885"/>
    <n v="94500"/>
    <n v="9500"/>
    <x v="3"/>
    <x v="0"/>
  </r>
  <r>
    <d v="2015-01-30T00:00:00"/>
    <n v="33"/>
    <n v="113"/>
    <n v="62"/>
    <n v="208"/>
    <n v="22605"/>
    <n v="71190"/>
    <n v="23560"/>
    <x v="3"/>
    <x v="1"/>
  </r>
  <r>
    <d v="2015-01-31T00:00:00"/>
    <n v="142"/>
    <n v="44"/>
    <n v="92"/>
    <n v="278"/>
    <n v="97270"/>
    <n v="27720"/>
    <n v="34960"/>
    <x v="3"/>
    <x v="0"/>
  </r>
  <r>
    <d v="2015-02-01T00:00:00"/>
    <n v="119"/>
    <n v="167"/>
    <n v="64"/>
    <n v="350"/>
    <n v="81515"/>
    <n v="105210"/>
    <n v="24320"/>
    <x v="4"/>
    <x v="1"/>
  </r>
  <r>
    <d v="2015-02-02T00:00:00"/>
    <n v="54"/>
    <n v="109"/>
    <n v="65"/>
    <n v="228"/>
    <n v="36990"/>
    <n v="68670"/>
    <n v="24700"/>
    <x v="4"/>
    <x v="0"/>
  </r>
  <r>
    <d v="2015-02-03T00:00:00"/>
    <n v="53"/>
    <n v="94"/>
    <n v="43"/>
    <n v="190"/>
    <n v="36305"/>
    <n v="59220"/>
    <n v="16340"/>
    <x v="4"/>
    <x v="2"/>
  </r>
  <r>
    <d v="2015-02-04T00:00:00"/>
    <n v="165"/>
    <n v="101"/>
    <n v="8"/>
    <n v="274"/>
    <n v="113025"/>
    <n v="63630"/>
    <n v="3040"/>
    <x v="4"/>
    <x v="0"/>
  </r>
  <r>
    <d v="2015-02-05T00:00:00"/>
    <n v="159"/>
    <n v="68"/>
    <n v="96"/>
    <n v="323"/>
    <n v="108915"/>
    <n v="42840"/>
    <n v="36480"/>
    <x v="4"/>
    <x v="0"/>
  </r>
  <r>
    <d v="2015-02-06T00:00:00"/>
    <n v="79"/>
    <n v="119"/>
    <n v="35"/>
    <n v="233"/>
    <n v="54115"/>
    <n v="74970"/>
    <n v="13300"/>
    <x v="4"/>
    <x v="1"/>
  </r>
  <r>
    <d v="2015-02-07T00:00:00"/>
    <n v="128"/>
    <n v="148"/>
    <n v="77"/>
    <n v="353"/>
    <n v="87680"/>
    <n v="93240"/>
    <n v="29260"/>
    <x v="4"/>
    <x v="0"/>
  </r>
  <r>
    <d v="2015-02-08T00:00:00"/>
    <n v="195"/>
    <n v="39"/>
    <n v="77"/>
    <n v="311"/>
    <n v="133575"/>
    <n v="24570"/>
    <n v="29260"/>
    <x v="4"/>
    <x v="0"/>
  </r>
  <r>
    <d v="2015-02-09T00:00:00"/>
    <n v="87"/>
    <n v="8"/>
    <n v="17"/>
    <n v="112"/>
    <n v="59595"/>
    <n v="5040"/>
    <n v="6460"/>
    <x v="4"/>
    <x v="1"/>
  </r>
  <r>
    <d v="2015-02-10T00:00:00"/>
    <n v="114"/>
    <n v="124"/>
    <n v="94"/>
    <n v="332"/>
    <n v="78090"/>
    <n v="78120"/>
    <n v="35720"/>
    <x v="4"/>
    <x v="0"/>
  </r>
  <r>
    <d v="2015-02-11T00:00:00"/>
    <n v="126"/>
    <n v="122"/>
    <n v="39"/>
    <n v="287"/>
    <n v="86310"/>
    <n v="76860"/>
    <n v="14820"/>
    <x v="4"/>
    <x v="1"/>
  </r>
  <r>
    <d v="2015-02-12T00:00:00"/>
    <n v="96"/>
    <n v="113"/>
    <n v="28"/>
    <n v="237"/>
    <n v="65760"/>
    <n v="71190"/>
    <n v="10640"/>
    <x v="4"/>
    <x v="0"/>
  </r>
  <r>
    <d v="2015-02-13T00:00:00"/>
    <n v="165"/>
    <n v="4"/>
    <n v="83"/>
    <n v="252"/>
    <n v="113025"/>
    <n v="2520"/>
    <n v="31540"/>
    <x v="4"/>
    <x v="0"/>
  </r>
  <r>
    <d v="2015-02-14T00:00:00"/>
    <n v="1"/>
    <n v="117"/>
    <n v="76"/>
    <n v="194"/>
    <n v="685"/>
    <n v="73710"/>
    <n v="28880"/>
    <x v="4"/>
    <x v="1"/>
  </r>
  <r>
    <d v="2015-02-15T00:00:00"/>
    <n v="107"/>
    <n v="70"/>
    <n v="28"/>
    <n v="205"/>
    <n v="73295"/>
    <n v="44100"/>
    <n v="10640"/>
    <x v="4"/>
    <x v="2"/>
  </r>
  <r>
    <d v="2015-02-16T00:00:00"/>
    <n v="83"/>
    <n v="81"/>
    <n v="1"/>
    <n v="165"/>
    <n v="56855"/>
    <n v="51030"/>
    <n v="380"/>
    <x v="4"/>
    <x v="1"/>
  </r>
  <r>
    <d v="2015-02-17T00:00:00"/>
    <n v="43"/>
    <n v="109"/>
    <n v="50"/>
    <n v="202"/>
    <n v="29455"/>
    <n v="68670"/>
    <n v="19000"/>
    <x v="4"/>
    <x v="0"/>
  </r>
  <r>
    <d v="2015-02-18T00:00:00"/>
    <n v="52"/>
    <n v="110"/>
    <n v="19"/>
    <n v="181"/>
    <n v="35620"/>
    <n v="69300"/>
    <n v="7220"/>
    <x v="4"/>
    <x v="2"/>
  </r>
  <r>
    <d v="2015-02-19T00:00:00"/>
    <n v="104"/>
    <n v="132"/>
    <n v="57"/>
    <n v="293"/>
    <n v="71240"/>
    <n v="83160"/>
    <n v="21660"/>
    <x v="4"/>
    <x v="1"/>
  </r>
  <r>
    <d v="2015-02-20T00:00:00"/>
    <n v="57"/>
    <n v="150"/>
    <n v="36"/>
    <n v="243"/>
    <n v="39045"/>
    <n v="94500"/>
    <n v="13680"/>
    <x v="4"/>
    <x v="0"/>
  </r>
  <r>
    <d v="2015-02-21T00:00:00"/>
    <n v="86"/>
    <n v="183"/>
    <n v="0"/>
    <n v="269"/>
    <n v="58910"/>
    <n v="115290"/>
    <n v="0"/>
    <x v="4"/>
    <x v="1"/>
  </r>
  <r>
    <d v="2015-02-22T00:00:00"/>
    <n v="108"/>
    <n v="20"/>
    <n v="87"/>
    <n v="215"/>
    <n v="73980"/>
    <n v="12600"/>
    <n v="33060"/>
    <x v="4"/>
    <x v="0"/>
  </r>
  <r>
    <d v="2015-02-23T00:00:00"/>
    <n v="102"/>
    <n v="142"/>
    <n v="20"/>
    <n v="264"/>
    <n v="69870"/>
    <n v="89460"/>
    <n v="7600"/>
    <x v="4"/>
    <x v="1"/>
  </r>
  <r>
    <d v="2015-02-24T00:00:00"/>
    <n v="81"/>
    <n v="133"/>
    <n v="25"/>
    <n v="239"/>
    <n v="55485"/>
    <n v="83790"/>
    <n v="9500"/>
    <x v="4"/>
    <x v="0"/>
  </r>
  <r>
    <d v="2015-02-25T00:00:00"/>
    <n v="59"/>
    <n v="87"/>
    <n v="10"/>
    <n v="156"/>
    <n v="40415"/>
    <n v="54810"/>
    <n v="3800"/>
    <x v="4"/>
    <x v="1"/>
  </r>
  <r>
    <d v="2015-02-26T00:00:00"/>
    <n v="21"/>
    <n v="75"/>
    <n v="65"/>
    <n v="161"/>
    <n v="14385"/>
    <n v="47250"/>
    <n v="24700"/>
    <x v="4"/>
    <x v="2"/>
  </r>
  <r>
    <d v="2015-02-27T00:00:00"/>
    <n v="79"/>
    <n v="14"/>
    <n v="27"/>
    <n v="120"/>
    <n v="54115"/>
    <n v="8820"/>
    <n v="10260"/>
    <x v="4"/>
    <x v="2"/>
  </r>
  <r>
    <d v="2015-02-28T00:00:00"/>
    <n v="56"/>
    <n v="12"/>
    <n v="25"/>
    <n v="93"/>
    <n v="38360"/>
    <n v="7560"/>
    <n v="9500"/>
    <x v="4"/>
    <x v="0"/>
  </r>
  <r>
    <d v="2015-03-01T00:00:00"/>
    <n v="195"/>
    <n v="90"/>
    <n v="56"/>
    <n v="341"/>
    <n v="133575"/>
    <n v="56700"/>
    <n v="21280"/>
    <x v="5"/>
    <x v="0"/>
  </r>
  <r>
    <d v="2015-03-02T00:00:00"/>
    <n v="113"/>
    <n v="90"/>
    <n v="24"/>
    <n v="227"/>
    <n v="77405"/>
    <n v="56700"/>
    <n v="9120"/>
    <x v="5"/>
    <x v="1"/>
  </r>
  <r>
    <d v="2015-03-03T00:00:00"/>
    <n v="93"/>
    <n v="139"/>
    <n v="47"/>
    <n v="279"/>
    <n v="63705"/>
    <n v="87570"/>
    <n v="17860"/>
    <x v="5"/>
    <x v="0"/>
  </r>
  <r>
    <d v="2015-03-04T00:00:00"/>
    <n v="93"/>
    <n v="147"/>
    <n v="26"/>
    <n v="266"/>
    <n v="63705"/>
    <n v="92610"/>
    <n v="9880"/>
    <x v="5"/>
    <x v="1"/>
  </r>
  <r>
    <d v="2015-03-05T00:00:00"/>
    <n v="79"/>
    <n v="145"/>
    <n v="36"/>
    <n v="260"/>
    <n v="54115"/>
    <n v="91350"/>
    <n v="13680"/>
    <x v="5"/>
    <x v="0"/>
  </r>
  <r>
    <d v="2015-03-06T00:00:00"/>
    <n v="148"/>
    <n v="127"/>
    <n v="27"/>
    <n v="302"/>
    <n v="101380"/>
    <n v="80010"/>
    <n v="10260"/>
    <x v="5"/>
    <x v="1"/>
  </r>
  <r>
    <d v="2015-03-07T00:00:00"/>
    <n v="132"/>
    <n v="128"/>
    <n v="37"/>
    <n v="297"/>
    <n v="90420"/>
    <n v="80640"/>
    <n v="14060"/>
    <x v="5"/>
    <x v="0"/>
  </r>
  <r>
    <d v="2015-03-08T00:00:00"/>
    <n v="22"/>
    <n v="115"/>
    <n v="28"/>
    <n v="165"/>
    <n v="15070"/>
    <n v="72450"/>
    <n v="10640"/>
    <x v="5"/>
    <x v="1"/>
  </r>
  <r>
    <d v="2015-03-09T00:00:00"/>
    <n v="50"/>
    <n v="99"/>
    <n v="78"/>
    <n v="227"/>
    <n v="34250"/>
    <n v="62370"/>
    <n v="29640"/>
    <x v="5"/>
    <x v="2"/>
  </r>
  <r>
    <d v="2015-03-10T00:00:00"/>
    <n v="178"/>
    <n v="146"/>
    <n v="75"/>
    <n v="399"/>
    <n v="121930"/>
    <n v="91980"/>
    <n v="28500"/>
    <x v="5"/>
    <x v="0"/>
  </r>
  <r>
    <d v="2015-03-11T00:00:00"/>
    <n v="97"/>
    <n v="135"/>
    <n v="66"/>
    <n v="298"/>
    <n v="66445"/>
    <n v="85050"/>
    <n v="25080"/>
    <x v="5"/>
    <x v="0"/>
  </r>
  <r>
    <d v="2015-03-12T00:00:00"/>
    <n v="138"/>
    <n v="160"/>
    <n v="6"/>
    <n v="304"/>
    <n v="94530"/>
    <n v="100800"/>
    <n v="2280"/>
    <x v="5"/>
    <x v="1"/>
  </r>
  <r>
    <d v="2015-03-13T00:00:00"/>
    <n v="194"/>
    <n v="87"/>
    <n v="60"/>
    <n v="341"/>
    <n v="132890"/>
    <n v="54810"/>
    <n v="22800"/>
    <x v="5"/>
    <x v="0"/>
  </r>
  <r>
    <d v="2015-03-14T00:00:00"/>
    <n v="86"/>
    <n v="21"/>
    <n v="45"/>
    <n v="152"/>
    <n v="58910"/>
    <n v="13230"/>
    <n v="17100"/>
    <x v="5"/>
    <x v="0"/>
  </r>
  <r>
    <d v="2015-03-15T00:00:00"/>
    <n v="26"/>
    <n v="60"/>
    <n v="44"/>
    <n v="130"/>
    <n v="17810"/>
    <n v="37800"/>
    <n v="16720"/>
    <x v="5"/>
    <x v="1"/>
  </r>
  <r>
    <d v="2015-03-16T00:00:00"/>
    <n v="28"/>
    <n v="35"/>
    <n v="96"/>
    <n v="159"/>
    <n v="19180"/>
    <n v="22050"/>
    <n v="36480"/>
    <x v="5"/>
    <x v="1"/>
  </r>
  <r>
    <d v="2015-03-17T00:00:00"/>
    <n v="53"/>
    <n v="100"/>
    <n v="64"/>
    <n v="217"/>
    <n v="36305"/>
    <n v="63000"/>
    <n v="24320"/>
    <x v="5"/>
    <x v="2"/>
  </r>
  <r>
    <d v="2015-03-18T00:00:00"/>
    <n v="168"/>
    <n v="64"/>
    <n v="46"/>
    <n v="278"/>
    <n v="115080"/>
    <n v="40320"/>
    <n v="17480"/>
    <x v="5"/>
    <x v="0"/>
  </r>
  <r>
    <d v="2015-03-19T00:00:00"/>
    <n v="77"/>
    <n v="60"/>
    <n v="35"/>
    <n v="172"/>
    <n v="52745"/>
    <n v="37800"/>
    <n v="13300"/>
    <x v="5"/>
    <x v="0"/>
  </r>
  <r>
    <d v="2015-03-20T00:00:00"/>
    <n v="17"/>
    <n v="80"/>
    <n v="30"/>
    <n v="127"/>
    <n v="11645"/>
    <n v="50400"/>
    <n v="11400"/>
    <x v="5"/>
    <x v="1"/>
  </r>
  <r>
    <d v="2015-03-21T00:00:00"/>
    <n v="175"/>
    <n v="47"/>
    <n v="25"/>
    <n v="247"/>
    <n v="119875"/>
    <n v="29610"/>
    <n v="9500"/>
    <x v="5"/>
    <x v="0"/>
  </r>
  <r>
    <d v="2015-03-22T00:00:00"/>
    <n v="164"/>
    <n v="60"/>
    <n v="22"/>
    <n v="246"/>
    <n v="112340"/>
    <n v="37800"/>
    <n v="8360"/>
    <x v="5"/>
    <x v="2"/>
  </r>
  <r>
    <d v="2015-03-23T00:00:00"/>
    <n v="199"/>
    <n v="80"/>
    <n v="45"/>
    <n v="324"/>
    <n v="136315"/>
    <n v="50400"/>
    <n v="17100"/>
    <x v="5"/>
    <x v="0"/>
  </r>
  <r>
    <d v="2015-03-24T00:00:00"/>
    <n v="111"/>
    <n v="92"/>
    <n v="45"/>
    <n v="248"/>
    <n v="76035"/>
    <n v="57960"/>
    <n v="17100"/>
    <x v="5"/>
    <x v="0"/>
  </r>
  <r>
    <d v="2015-03-25T00:00:00"/>
    <n v="58"/>
    <n v="90"/>
    <n v="40"/>
    <n v="188"/>
    <n v="39730"/>
    <n v="56700"/>
    <n v="15200"/>
    <x v="5"/>
    <x v="1"/>
  </r>
  <r>
    <d v="2015-03-26T00:00:00"/>
    <n v="59"/>
    <n v="164"/>
    <n v="47"/>
    <n v="270"/>
    <n v="40415"/>
    <n v="103320"/>
    <n v="17860"/>
    <x v="5"/>
    <x v="1"/>
  </r>
  <r>
    <d v="2015-03-27T00:00:00"/>
    <n v="158"/>
    <n v="120"/>
    <n v="30"/>
    <n v="308"/>
    <n v="108230"/>
    <n v="75600"/>
    <n v="11400"/>
    <x v="5"/>
    <x v="0"/>
  </r>
  <r>
    <d v="2015-03-28T00:00:00"/>
    <n v="84"/>
    <n v="90"/>
    <n v="30"/>
    <n v="204"/>
    <n v="57540"/>
    <n v="56700"/>
    <n v="11400"/>
    <x v="5"/>
    <x v="0"/>
  </r>
  <r>
    <d v="2015-03-29T00:00:00"/>
    <n v="64"/>
    <n v="61"/>
    <n v="60"/>
    <n v="185"/>
    <n v="43840"/>
    <n v="38430"/>
    <n v="22800"/>
    <x v="5"/>
    <x v="1"/>
  </r>
  <r>
    <d v="2015-03-30T00:00:00"/>
    <n v="125"/>
    <n v="84"/>
    <n v="40"/>
    <n v="249"/>
    <n v="85625"/>
    <n v="52920"/>
    <n v="15200"/>
    <x v="5"/>
    <x v="0"/>
  </r>
  <r>
    <d v="2015-03-31T00:00:00"/>
    <n v="148"/>
    <n v="110"/>
    <n v="50"/>
    <n v="308"/>
    <n v="101380"/>
    <n v="69300"/>
    <n v="19000"/>
    <x v="5"/>
    <x v="1"/>
  </r>
  <r>
    <d v="2015-04-01T00:00:00"/>
    <n v="172"/>
    <n v="100"/>
    <n v="30"/>
    <n v="302"/>
    <n v="117820"/>
    <n v="63000"/>
    <n v="11400"/>
    <x v="6"/>
    <x v="0"/>
  </r>
  <r>
    <d v="2015-04-02T00:00:00"/>
    <n v="103"/>
    <n v="60"/>
    <n v="40"/>
    <n v="203"/>
    <n v="70555"/>
    <n v="37800"/>
    <n v="15200"/>
    <x v="6"/>
    <x v="0"/>
  </r>
  <r>
    <d v="2015-04-03T00:00:00"/>
    <n v="191"/>
    <n v="41"/>
    <n v="52"/>
    <n v="284"/>
    <n v="130835"/>
    <n v="25830"/>
    <n v="19760"/>
    <x v="6"/>
    <x v="0"/>
  </r>
  <r>
    <d v="2015-04-04T00:00:00"/>
    <n v="128"/>
    <n v="98"/>
    <n v="40"/>
    <n v="266"/>
    <n v="87680"/>
    <n v="61740"/>
    <n v="15200"/>
    <x v="6"/>
    <x v="1"/>
  </r>
  <r>
    <d v="2015-04-05T00:00:00"/>
    <n v="75"/>
    <n v="87"/>
    <n v="47"/>
    <n v="209"/>
    <n v="51375"/>
    <n v="54810"/>
    <n v="17860"/>
    <x v="6"/>
    <x v="0"/>
  </r>
  <r>
    <d v="2015-04-06T00:00:00"/>
    <n v="38"/>
    <n v="100"/>
    <n v="50"/>
    <n v="188"/>
    <n v="26030"/>
    <n v="63000"/>
    <n v="19000"/>
    <x v="6"/>
    <x v="1"/>
  </r>
  <r>
    <d v="2015-04-07T00:00:00"/>
    <n v="80"/>
    <n v="40"/>
    <n v="30"/>
    <n v="150"/>
    <n v="54800"/>
    <n v="25200"/>
    <n v="11400"/>
    <x v="6"/>
    <x v="2"/>
  </r>
  <r>
    <d v="2015-04-08T00:00:00"/>
    <n v="55"/>
    <n v="60"/>
    <n v="50"/>
    <n v="165"/>
    <n v="37675"/>
    <n v="37800"/>
    <n v="19000"/>
    <x v="6"/>
    <x v="0"/>
  </r>
  <r>
    <d v="2015-04-09T00:00:00"/>
    <n v="10"/>
    <n v="80"/>
    <n v="48"/>
    <n v="138"/>
    <n v="6850"/>
    <n v="50400"/>
    <n v="18240"/>
    <x v="6"/>
    <x v="2"/>
  </r>
  <r>
    <d v="2015-04-10T00:00:00"/>
    <n v="95"/>
    <n v="60"/>
    <n v="51"/>
    <n v="206"/>
    <n v="65075"/>
    <n v="37800"/>
    <n v="19380"/>
    <x v="6"/>
    <x v="1"/>
  </r>
  <r>
    <d v="2015-04-11T00:00:00"/>
    <n v="90"/>
    <n v="100"/>
    <n v="50"/>
    <n v="240"/>
    <n v="61650"/>
    <n v="63000"/>
    <n v="19000"/>
    <x v="6"/>
    <x v="0"/>
  </r>
  <r>
    <d v="2015-04-12T00:00:00"/>
    <n v="186"/>
    <n v="60"/>
    <n v="92"/>
    <n v="338"/>
    <n v="127410"/>
    <n v="37800"/>
    <n v="34960"/>
    <x v="6"/>
    <x v="2"/>
  </r>
  <r>
    <d v="2015-04-13T00:00:00"/>
    <n v="2"/>
    <n v="40"/>
    <n v="50"/>
    <n v="92"/>
    <n v="1370"/>
    <n v="25200"/>
    <n v="19000"/>
    <x v="6"/>
    <x v="0"/>
  </r>
  <r>
    <d v="2015-04-14T00:00:00"/>
    <n v="136"/>
    <n v="20"/>
    <n v="66"/>
    <n v="222"/>
    <n v="93160"/>
    <n v="12600"/>
    <n v="25080"/>
    <x v="6"/>
    <x v="2"/>
  </r>
  <r>
    <d v="2015-04-15T00:00:00"/>
    <n v="4"/>
    <n v="20"/>
    <n v="10"/>
    <n v="34"/>
    <n v="2740"/>
    <n v="12600"/>
    <n v="3800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przestawna1" cacheId="0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outline="1" outlineData="1" multipleFieldFilters="0" chartFormat="1" rowHeaderCaption="miesiąc">
  <location ref="A3:D12" firstHeaderRow="1" firstDataRow="2" firstDataCol="1"/>
  <pivotFields count="10">
    <pivotField numFmtId="14" showAll="0"/>
    <pivotField dataField="1" showAll="0"/>
    <pivotField dataField="1" showAll="0"/>
    <pivotField dataField="1" showAll="0"/>
    <pivotField showAll="0" defaultSubtotal="0"/>
    <pivotField showAll="0"/>
    <pivotField showAll="0"/>
    <pivotField showAll="0"/>
    <pivotField axis="axisRow" showAll="0" defaultSubtotal="0">
      <items count="14">
        <item m="1" x="8"/>
        <item m="1" x="7"/>
        <item m="1" x="9"/>
        <item m="1" x="12"/>
        <item m="1" x="10"/>
        <item m="1" x="11"/>
        <item m="1" x="13"/>
        <item x="0"/>
        <item x="1"/>
        <item x="2"/>
        <item x="3"/>
        <item x="4"/>
        <item x="5"/>
        <item x="6"/>
      </items>
    </pivotField>
    <pivotField showAll="0" defaultSubtotal="0"/>
  </pivotFields>
  <rowFields count="1">
    <field x="8"/>
  </rowFields>
  <rowItems count="8"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z kostka" fld="1" baseField="0" baseItem="0"/>
    <dataField name="Suma z orzech" fld="2" baseField="0" baseItem="0"/>
    <dataField name="Suma z miał" fld="3" baseField="0" baseItem="0"/>
  </dataFields>
  <chartFormats count="3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przestawna2" cacheId="0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outline="1" outlineData="1" multipleFieldFilters="0" rowHeaderCaption="czym palono">
  <location ref="A3:B8" firstHeaderRow="1" firstDataRow="1" firstDataCol="1"/>
  <pivotFields count="10">
    <pivotField dataField="1"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4">
        <item x="0"/>
        <item x="2"/>
        <item x="1"/>
        <item x="3"/>
      </items>
    </pivotField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ile dni" fld="0" subtotal="count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ela1" displayName="Tabela1" ref="A1:J184" totalsRowShown="0">
  <autoFilter ref="A1:J184">
    <filterColumn colId="4"/>
    <filterColumn colId="5"/>
    <filterColumn colId="6"/>
    <filterColumn colId="7"/>
    <filterColumn colId="8"/>
    <filterColumn colId="9"/>
  </autoFilter>
  <tableColumns count="10">
    <tableColumn id="1" name="data" dataDxfId="6"/>
    <tableColumn id="2" name="kostka"/>
    <tableColumn id="3" name="orzech"/>
    <tableColumn id="4" name="miał"/>
    <tableColumn id="8" name="suma" dataDxfId="5">
      <calculatedColumnFormula>SUM(Tabela1[[#This Row],[kostka]:[miał]])</calculatedColumnFormula>
    </tableColumn>
    <tableColumn id="5" name="kcena" dataDxfId="4">
      <calculatedColumnFormula>Tabela1[[#This Row],[kostka]]*L$2</calculatedColumnFormula>
    </tableColumn>
    <tableColumn id="6" name="ocena" dataDxfId="3">
      <calculatedColumnFormula>Tabela1[[#This Row],[orzech]]*M$2</calculatedColumnFormula>
    </tableColumn>
    <tableColumn id="7" name="mcena" dataDxfId="2">
      <calculatedColumnFormula>Tabela1[[#This Row],[miał]]*N$2</calculatedColumnFormula>
    </tableColumn>
    <tableColumn id="9" name="miesiąc" dataDxfId="1">
      <calculatedColumnFormula>TEXT(Tabela1[[#This Row],[data]],"mmmm")</calculatedColumnFormula>
    </tableColumn>
    <tableColumn id="10" name="czym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3:D12"/>
  <sheetViews>
    <sheetView workbookViewId="0">
      <selection activeCell="B4" sqref="B4:D4"/>
    </sheetView>
  </sheetViews>
  <sheetFormatPr defaultRowHeight="14.4"/>
  <cols>
    <col min="1" max="1" width="14" bestFit="1" customWidth="1"/>
    <col min="2" max="3" width="13.109375" bestFit="1" customWidth="1"/>
    <col min="4" max="5" width="11.109375" bestFit="1" customWidth="1"/>
  </cols>
  <sheetData>
    <row r="3" spans="1:4">
      <c r="B3" s="4" t="s">
        <v>23</v>
      </c>
    </row>
    <row r="4" spans="1:4">
      <c r="A4" s="4" t="s">
        <v>9</v>
      </c>
      <c r="B4" t="s">
        <v>24</v>
      </c>
      <c r="C4" t="s">
        <v>25</v>
      </c>
      <c r="D4" t="s">
        <v>26</v>
      </c>
    </row>
    <row r="5" spans="1:4">
      <c r="A5" s="5" t="s">
        <v>10</v>
      </c>
      <c r="B5" s="2">
        <v>1742</v>
      </c>
      <c r="C5" s="2">
        <v>1658</v>
      </c>
      <c r="D5" s="2">
        <v>915</v>
      </c>
    </row>
    <row r="6" spans="1:4">
      <c r="A6" s="5" t="s">
        <v>11</v>
      </c>
      <c r="B6" s="2">
        <v>2756</v>
      </c>
      <c r="C6" s="2">
        <v>2884</v>
      </c>
      <c r="D6" s="2">
        <v>1750</v>
      </c>
    </row>
    <row r="7" spans="1:4">
      <c r="A7" s="5" t="s">
        <v>12</v>
      </c>
      <c r="B7" s="2">
        <v>2696</v>
      </c>
      <c r="C7" s="2">
        <v>2749</v>
      </c>
      <c r="D7" s="2">
        <v>1586</v>
      </c>
    </row>
    <row r="8" spans="1:4">
      <c r="A8" s="5" t="s">
        <v>13</v>
      </c>
      <c r="B8" s="2">
        <v>2990</v>
      </c>
      <c r="C8" s="2">
        <v>2870</v>
      </c>
      <c r="D8" s="2">
        <v>1646</v>
      </c>
    </row>
    <row r="9" spans="1:4">
      <c r="A9" s="5" t="s">
        <v>14</v>
      </c>
      <c r="B9" s="2">
        <v>2579</v>
      </c>
      <c r="C9" s="2">
        <v>2651</v>
      </c>
      <c r="D9" s="2">
        <v>1252</v>
      </c>
    </row>
    <row r="10" spans="1:4">
      <c r="A10" s="5" t="s">
        <v>15</v>
      </c>
      <c r="B10" s="2">
        <v>3332</v>
      </c>
      <c r="C10" s="2">
        <v>3026</v>
      </c>
      <c r="D10" s="2">
        <v>1360</v>
      </c>
    </row>
    <row r="11" spans="1:4">
      <c r="A11" s="5" t="s">
        <v>16</v>
      </c>
      <c r="B11" s="2">
        <v>1365</v>
      </c>
      <c r="C11" s="2">
        <v>966</v>
      </c>
      <c r="D11" s="2">
        <v>706</v>
      </c>
    </row>
    <row r="12" spans="1:4">
      <c r="A12" s="5" t="s">
        <v>7</v>
      </c>
      <c r="B12" s="2">
        <v>17460</v>
      </c>
      <c r="C12" s="2">
        <v>16804</v>
      </c>
      <c r="D12" s="2">
        <v>9215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4"/>
  <dimension ref="A3:B8"/>
  <sheetViews>
    <sheetView tabSelected="1" workbookViewId="0">
      <selection activeCell="D15" sqref="D15"/>
    </sheetView>
  </sheetViews>
  <sheetFormatPr defaultRowHeight="14.4"/>
  <cols>
    <col min="1" max="1" width="14" customWidth="1"/>
    <col min="2" max="2" width="6" customWidth="1"/>
    <col min="3" max="4" width="12" bestFit="1" customWidth="1"/>
  </cols>
  <sheetData>
    <row r="3" spans="1:2">
      <c r="A3" s="4" t="s">
        <v>20</v>
      </c>
      <c r="B3" t="s">
        <v>21</v>
      </c>
    </row>
    <row r="4" spans="1:2">
      <c r="A4" s="5" t="s">
        <v>1</v>
      </c>
      <c r="B4" s="2">
        <v>87</v>
      </c>
    </row>
    <row r="5" spans="1:2">
      <c r="A5" s="5" t="s">
        <v>3</v>
      </c>
      <c r="B5" s="2">
        <v>29</v>
      </c>
    </row>
    <row r="6" spans="1:2">
      <c r="A6" s="5" t="s">
        <v>2</v>
      </c>
      <c r="B6" s="2">
        <v>64</v>
      </c>
    </row>
    <row r="7" spans="1:2">
      <c r="A7" s="5" t="s">
        <v>18</v>
      </c>
      <c r="B7" s="2">
        <v>3</v>
      </c>
    </row>
    <row r="8" spans="1:2">
      <c r="A8" s="5" t="s">
        <v>7</v>
      </c>
      <c r="B8" s="2">
        <v>183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2"/>
  <dimension ref="A1:P184"/>
  <sheetViews>
    <sheetView workbookViewId="0">
      <selection activeCell="G29" sqref="G29"/>
    </sheetView>
  </sheetViews>
  <sheetFormatPr defaultRowHeight="14.4"/>
  <cols>
    <col min="1" max="1" width="10.109375" bestFit="1" customWidth="1"/>
    <col min="2" max="2" width="8.21875" customWidth="1"/>
    <col min="3" max="3" width="8.33203125" customWidth="1"/>
    <col min="4" max="4" width="10.33203125" customWidth="1"/>
    <col min="5" max="5" width="11.21875" customWidth="1"/>
    <col min="9" max="9" width="12.44140625" customWidth="1"/>
    <col min="10" max="10" width="6.88671875" style="2" customWidth="1"/>
    <col min="16" max="16" width="16.554687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8</v>
      </c>
      <c r="F1" t="s">
        <v>4</v>
      </c>
      <c r="G1" t="s">
        <v>5</v>
      </c>
      <c r="H1" t="s">
        <v>6</v>
      </c>
      <c r="I1" t="s">
        <v>9</v>
      </c>
      <c r="J1" s="2" t="s">
        <v>19</v>
      </c>
      <c r="L1" t="s">
        <v>1</v>
      </c>
      <c r="M1" t="s">
        <v>2</v>
      </c>
      <c r="N1" t="s">
        <v>3</v>
      </c>
      <c r="P1" t="s">
        <v>17</v>
      </c>
    </row>
    <row r="2" spans="1:16">
      <c r="A2" s="1">
        <v>41927</v>
      </c>
      <c r="B2">
        <v>200</v>
      </c>
      <c r="C2">
        <v>120</v>
      </c>
      <c r="D2">
        <v>81</v>
      </c>
      <c r="E2" s="2">
        <f>SUM(Tabela1[[#This Row],[kostka]:[miał]])</f>
        <v>401</v>
      </c>
      <c r="F2" s="2">
        <f>Tabela1[[#This Row],[kostka]]*L$2</f>
        <v>137000</v>
      </c>
      <c r="G2" s="2">
        <f>Tabela1[[#This Row],[orzech]]*M$2</f>
        <v>75600</v>
      </c>
      <c r="H2" s="2">
        <f>Tabela1[[#This Row],[miał]]*N$2</f>
        <v>30780</v>
      </c>
      <c r="I2" s="2" t="str">
        <f>TEXT(Tabela1[[#This Row],[data]],"mmmm")</f>
        <v>październik</v>
      </c>
      <c r="J2" s="2" t="s">
        <v>1</v>
      </c>
      <c r="L2">
        <v>685</v>
      </c>
      <c r="M2">
        <v>630</v>
      </c>
      <c r="N2">
        <v>380</v>
      </c>
      <c r="P2" s="3">
        <f>SUM(Tabela1[[kcena]:[mcena]])</f>
        <v>26048320</v>
      </c>
    </row>
    <row r="3" spans="1:16">
      <c r="A3" s="1">
        <v>41928</v>
      </c>
      <c r="B3">
        <v>100</v>
      </c>
      <c r="C3">
        <v>135</v>
      </c>
      <c r="D3">
        <v>33</v>
      </c>
      <c r="E3" s="2">
        <f>SUM(Tabela1[[#This Row],[kostka]:[miał]])</f>
        <v>268</v>
      </c>
      <c r="F3" s="2">
        <f>Tabela1[[#This Row],[kostka]]*L$2</f>
        <v>68500</v>
      </c>
      <c r="G3" s="2">
        <f>Tabela1[[#This Row],[orzech]]*M$2</f>
        <v>85050</v>
      </c>
      <c r="H3" s="2">
        <f>Tabela1[[#This Row],[miał]]*N$2</f>
        <v>12540</v>
      </c>
      <c r="I3" s="2" t="str">
        <f>TEXT(Tabela1[[#This Row],[data]],"mmmm")</f>
        <v>październik</v>
      </c>
      <c r="J3" s="2" t="s">
        <v>2</v>
      </c>
    </row>
    <row r="4" spans="1:16">
      <c r="A4" s="1">
        <v>41929</v>
      </c>
      <c r="B4">
        <v>50</v>
      </c>
      <c r="C4">
        <v>29</v>
      </c>
      <c r="D4">
        <v>85</v>
      </c>
      <c r="E4" s="2">
        <f>SUM(Tabela1[[#This Row],[kostka]:[miał]])</f>
        <v>164</v>
      </c>
      <c r="F4" s="2">
        <f>Tabela1[[#This Row],[kostka]]*L$2</f>
        <v>34250</v>
      </c>
      <c r="G4" s="2">
        <f>Tabela1[[#This Row],[orzech]]*M$2</f>
        <v>18270</v>
      </c>
      <c r="H4" s="2">
        <f>Tabela1[[#This Row],[miał]]*N$2</f>
        <v>32300</v>
      </c>
      <c r="I4" s="2" t="str">
        <f>TEXT(Tabela1[[#This Row],[data]],"mmmm")</f>
        <v>październik</v>
      </c>
      <c r="J4" s="2" t="s">
        <v>1</v>
      </c>
      <c r="P4" t="s">
        <v>22</v>
      </c>
    </row>
    <row r="5" spans="1:16">
      <c r="A5" s="1">
        <v>41930</v>
      </c>
      <c r="B5">
        <v>68</v>
      </c>
      <c r="C5">
        <v>107</v>
      </c>
      <c r="D5">
        <v>84</v>
      </c>
      <c r="E5" s="2">
        <f>SUM(Tabela1[[#This Row],[kostka]:[miał]])</f>
        <v>259</v>
      </c>
      <c r="F5" s="2">
        <f>Tabela1[[#This Row],[kostka]]*L$2</f>
        <v>46580</v>
      </c>
      <c r="G5" s="2">
        <f>Tabela1[[#This Row],[orzech]]*M$2</f>
        <v>67410</v>
      </c>
      <c r="H5" s="2">
        <f>Tabela1[[#This Row],[miał]]*N$2</f>
        <v>31920</v>
      </c>
      <c r="I5" s="2" t="str">
        <f>TEXT(Tabela1[[#This Row],[data]],"mmmm")</f>
        <v>październik</v>
      </c>
      <c r="J5" s="2" t="s">
        <v>3</v>
      </c>
      <c r="P5" s="6">
        <v>41930</v>
      </c>
    </row>
    <row r="6" spans="1:16">
      <c r="A6" s="1">
        <v>41931</v>
      </c>
      <c r="B6">
        <v>75</v>
      </c>
      <c r="C6">
        <v>49</v>
      </c>
      <c r="D6">
        <v>23</v>
      </c>
      <c r="E6" s="2">
        <f>SUM(Tabela1[[#This Row],[kostka]:[miał]])</f>
        <v>147</v>
      </c>
      <c r="F6" s="2">
        <f>Tabela1[[#This Row],[kostka]]*L$2</f>
        <v>51375</v>
      </c>
      <c r="G6" s="2">
        <f>Tabela1[[#This Row],[orzech]]*M$2</f>
        <v>30870</v>
      </c>
      <c r="H6" s="2">
        <f>Tabela1[[#This Row],[miał]]*N$2</f>
        <v>8740</v>
      </c>
      <c r="I6" s="2" t="str">
        <f>TEXT(Tabela1[[#This Row],[data]],"mmmm")</f>
        <v>październik</v>
      </c>
      <c r="J6" s="2" t="s">
        <v>2</v>
      </c>
    </row>
    <row r="7" spans="1:16">
      <c r="A7" s="1">
        <v>41932</v>
      </c>
      <c r="B7">
        <v>109</v>
      </c>
      <c r="C7">
        <v>90</v>
      </c>
      <c r="D7">
        <v>48</v>
      </c>
      <c r="E7" s="2">
        <f>SUM(Tabela1[[#This Row],[kostka]:[miał]])</f>
        <v>247</v>
      </c>
      <c r="F7" s="2">
        <f>Tabela1[[#This Row],[kostka]]*L$2</f>
        <v>74665</v>
      </c>
      <c r="G7" s="2">
        <f>Tabela1[[#This Row],[orzech]]*M$2</f>
        <v>56700</v>
      </c>
      <c r="H7" s="2">
        <f>Tabela1[[#This Row],[miał]]*N$2</f>
        <v>18240</v>
      </c>
      <c r="I7" s="2" t="str">
        <f>TEXT(Tabela1[[#This Row],[data]],"mmmm")</f>
        <v>październik</v>
      </c>
      <c r="J7" s="2" t="s">
        <v>1</v>
      </c>
    </row>
    <row r="8" spans="1:16">
      <c r="A8" s="1">
        <v>41933</v>
      </c>
      <c r="B8">
        <v>161</v>
      </c>
      <c r="C8">
        <v>2</v>
      </c>
      <c r="D8">
        <v>16</v>
      </c>
      <c r="E8" s="2">
        <f>SUM(Tabela1[[#This Row],[kostka]:[miał]])</f>
        <v>179</v>
      </c>
      <c r="F8" s="2">
        <f>Tabela1[[#This Row],[kostka]]*L$2</f>
        <v>110285</v>
      </c>
      <c r="G8" s="2">
        <f>Tabela1[[#This Row],[orzech]]*M$2</f>
        <v>1260</v>
      </c>
      <c r="H8" s="2">
        <f>Tabela1[[#This Row],[miał]]*N$2</f>
        <v>6080</v>
      </c>
      <c r="I8" s="2" t="str">
        <f>TEXT(Tabela1[[#This Row],[data]],"mmmm")</f>
        <v>październik</v>
      </c>
      <c r="J8" s="2" t="s">
        <v>1</v>
      </c>
    </row>
    <row r="9" spans="1:16">
      <c r="A9" s="1">
        <v>41934</v>
      </c>
      <c r="B9">
        <v>97</v>
      </c>
      <c r="C9">
        <v>129</v>
      </c>
      <c r="D9">
        <v>43</v>
      </c>
      <c r="E9" s="2">
        <f>SUM(Tabela1[[#This Row],[kostka]:[miał]])</f>
        <v>269</v>
      </c>
      <c r="F9" s="2">
        <f>Tabela1[[#This Row],[kostka]]*L$2</f>
        <v>66445</v>
      </c>
      <c r="G9" s="2">
        <f>Tabela1[[#This Row],[orzech]]*M$2</f>
        <v>81270</v>
      </c>
      <c r="H9" s="2">
        <f>Tabela1[[#This Row],[miał]]*N$2</f>
        <v>16340</v>
      </c>
      <c r="I9" s="2" t="str">
        <f>TEXT(Tabela1[[#This Row],[data]],"mmmm")</f>
        <v>październik</v>
      </c>
    </row>
    <row r="10" spans="1:16">
      <c r="A10" s="1">
        <v>41935</v>
      </c>
      <c r="B10">
        <v>25</v>
      </c>
      <c r="C10">
        <v>186</v>
      </c>
      <c r="D10">
        <v>4</v>
      </c>
      <c r="E10" s="2">
        <f>SUM(Tabela1[[#This Row],[kostka]:[miał]])</f>
        <v>215</v>
      </c>
      <c r="F10" s="2">
        <f>Tabela1[[#This Row],[kostka]]*L$2</f>
        <v>17125</v>
      </c>
      <c r="G10" s="2">
        <f>Tabela1[[#This Row],[orzech]]*M$2</f>
        <v>117180</v>
      </c>
      <c r="H10" s="2">
        <f>Tabela1[[#This Row],[miał]]*N$2</f>
        <v>1520</v>
      </c>
      <c r="I10" s="2" t="str">
        <f>TEXT(Tabela1[[#This Row],[data]],"mmmm")</f>
        <v>październik</v>
      </c>
      <c r="J10" s="2" t="s">
        <v>2</v>
      </c>
    </row>
    <row r="11" spans="1:16">
      <c r="A11" s="1">
        <v>41936</v>
      </c>
      <c r="B11">
        <v>113</v>
      </c>
      <c r="C11">
        <v>97</v>
      </c>
      <c r="D11">
        <v>97</v>
      </c>
      <c r="E11" s="2">
        <f>SUM(Tabela1[[#This Row],[kostka]:[miał]])</f>
        <v>307</v>
      </c>
      <c r="F11" s="2">
        <f>Tabela1[[#This Row],[kostka]]*L$2</f>
        <v>77405</v>
      </c>
      <c r="G11" s="2">
        <f>Tabela1[[#This Row],[orzech]]*M$2</f>
        <v>61110</v>
      </c>
      <c r="H11" s="2">
        <f>Tabela1[[#This Row],[miał]]*N$2</f>
        <v>36860</v>
      </c>
      <c r="I11" s="2" t="str">
        <f>TEXT(Tabela1[[#This Row],[data]],"mmmm")</f>
        <v>październik</v>
      </c>
      <c r="J11" s="2" t="s">
        <v>1</v>
      </c>
    </row>
    <row r="12" spans="1:16">
      <c r="A12" s="1">
        <v>41937</v>
      </c>
      <c r="B12">
        <v>70</v>
      </c>
      <c r="C12">
        <v>12</v>
      </c>
      <c r="D12">
        <v>53</v>
      </c>
      <c r="E12" s="2">
        <f>SUM(Tabela1[[#This Row],[kostka]:[miał]])</f>
        <v>135</v>
      </c>
      <c r="F12" s="2">
        <f>Tabela1[[#This Row],[kostka]]*L$2</f>
        <v>47950</v>
      </c>
      <c r="G12" s="2">
        <f>Tabela1[[#This Row],[orzech]]*M$2</f>
        <v>7560</v>
      </c>
      <c r="H12" s="2">
        <f>Tabela1[[#This Row],[miał]]*N$2</f>
        <v>20140</v>
      </c>
      <c r="I12" s="2" t="str">
        <f>TEXT(Tabela1[[#This Row],[data]],"mmmm")</f>
        <v>październik</v>
      </c>
      <c r="J12" s="2" t="s">
        <v>3</v>
      </c>
    </row>
    <row r="13" spans="1:16">
      <c r="A13" s="1">
        <v>41938</v>
      </c>
      <c r="B13">
        <v>117</v>
      </c>
      <c r="C13">
        <v>142</v>
      </c>
      <c r="D13">
        <v>90</v>
      </c>
      <c r="E13" s="2">
        <f>SUM(Tabela1[[#This Row],[kostka]:[miał]])</f>
        <v>349</v>
      </c>
      <c r="F13" s="2">
        <f>Tabela1[[#This Row],[kostka]]*L$2</f>
        <v>80145</v>
      </c>
      <c r="G13" s="2">
        <f>Tabela1[[#This Row],[orzech]]*M$2</f>
        <v>89460</v>
      </c>
      <c r="H13" s="2">
        <f>Tabela1[[#This Row],[miał]]*N$2</f>
        <v>34200</v>
      </c>
      <c r="I13" s="2" t="str">
        <f>TEXT(Tabela1[[#This Row],[data]],"mmmm")</f>
        <v>październik</v>
      </c>
      <c r="J13" s="2" t="s">
        <v>1</v>
      </c>
    </row>
    <row r="14" spans="1:16">
      <c r="A14" s="1">
        <v>41939</v>
      </c>
      <c r="B14">
        <v>189</v>
      </c>
      <c r="C14">
        <v>28</v>
      </c>
      <c r="D14">
        <v>43</v>
      </c>
      <c r="E14" s="2">
        <f>SUM(Tabela1[[#This Row],[kostka]:[miał]])</f>
        <v>260</v>
      </c>
      <c r="F14" s="2">
        <f>Tabela1[[#This Row],[kostka]]*L$2</f>
        <v>129465</v>
      </c>
      <c r="G14" s="2">
        <f>Tabela1[[#This Row],[orzech]]*M$2</f>
        <v>17640</v>
      </c>
      <c r="H14" s="2">
        <f>Tabela1[[#This Row],[miał]]*N$2</f>
        <v>16340</v>
      </c>
      <c r="I14" s="2" t="str">
        <f>TEXT(Tabela1[[#This Row],[data]],"mmmm")</f>
        <v>październik</v>
      </c>
      <c r="J14" s="2" t="s">
        <v>1</v>
      </c>
    </row>
    <row r="15" spans="1:16">
      <c r="A15" s="1">
        <v>41940</v>
      </c>
      <c r="B15">
        <v>140</v>
      </c>
      <c r="C15">
        <v>191</v>
      </c>
      <c r="D15">
        <v>40</v>
      </c>
      <c r="E15" s="2">
        <f>SUM(Tabela1[[#This Row],[kostka]:[miał]])</f>
        <v>371</v>
      </c>
      <c r="F15" s="2">
        <f>Tabela1[[#This Row],[kostka]]*L$2</f>
        <v>95900</v>
      </c>
      <c r="G15" s="2">
        <f>Tabela1[[#This Row],[orzech]]*M$2</f>
        <v>120330</v>
      </c>
      <c r="H15" s="2">
        <f>Tabela1[[#This Row],[miał]]*N$2</f>
        <v>15200</v>
      </c>
      <c r="I15" s="2" t="str">
        <f>TEXT(Tabela1[[#This Row],[data]],"mmmm")</f>
        <v>październik</v>
      </c>
      <c r="J15" s="2" t="s">
        <v>2</v>
      </c>
    </row>
    <row r="16" spans="1:16">
      <c r="A16" s="1">
        <v>41941</v>
      </c>
      <c r="B16">
        <v>167</v>
      </c>
      <c r="C16">
        <v>48</v>
      </c>
      <c r="D16">
        <v>30</v>
      </c>
      <c r="E16" s="2">
        <f>SUM(Tabela1[[#This Row],[kostka]:[miał]])</f>
        <v>245</v>
      </c>
      <c r="F16" s="2">
        <f>Tabela1[[#This Row],[kostka]]*L$2</f>
        <v>114395</v>
      </c>
      <c r="G16" s="2">
        <f>Tabela1[[#This Row],[orzech]]*M$2</f>
        <v>30240</v>
      </c>
      <c r="H16" s="2">
        <f>Tabela1[[#This Row],[miał]]*N$2</f>
        <v>11400</v>
      </c>
      <c r="I16" s="2" t="str">
        <f>TEXT(Tabela1[[#This Row],[data]],"mmmm")</f>
        <v>październik</v>
      </c>
      <c r="J16" s="2" t="s">
        <v>1</v>
      </c>
    </row>
    <row r="17" spans="1:10">
      <c r="A17" s="1">
        <v>41942</v>
      </c>
      <c r="B17">
        <v>0</v>
      </c>
      <c r="C17">
        <v>154</v>
      </c>
      <c r="D17">
        <v>68</v>
      </c>
      <c r="E17" s="2">
        <f>SUM(Tabela1[[#This Row],[kostka]:[miał]])</f>
        <v>222</v>
      </c>
      <c r="F17" s="2">
        <f>Tabela1[[#This Row],[kostka]]*L$2</f>
        <v>0</v>
      </c>
      <c r="G17" s="2">
        <f>Tabela1[[#This Row],[orzech]]*M$2</f>
        <v>97020</v>
      </c>
      <c r="H17" s="2">
        <f>Tabela1[[#This Row],[miał]]*N$2</f>
        <v>25840</v>
      </c>
      <c r="I17" s="2" t="str">
        <f>TEXT(Tabela1[[#This Row],[data]],"mmmm")</f>
        <v>październik</v>
      </c>
      <c r="J17" s="2" t="s">
        <v>2</v>
      </c>
    </row>
    <row r="18" spans="1:10">
      <c r="A18" s="1">
        <v>41943</v>
      </c>
      <c r="B18">
        <v>61</v>
      </c>
      <c r="C18">
        <v>139</v>
      </c>
      <c r="D18">
        <v>77</v>
      </c>
      <c r="E18" s="2">
        <f>SUM(Tabela1[[#This Row],[kostka]:[miał]])</f>
        <v>277</v>
      </c>
      <c r="F18" s="2">
        <f>Tabela1[[#This Row],[kostka]]*L$2</f>
        <v>41785</v>
      </c>
      <c r="G18" s="2">
        <f>Tabela1[[#This Row],[orzech]]*M$2</f>
        <v>87570</v>
      </c>
      <c r="H18" s="2">
        <f>Tabela1[[#This Row],[miał]]*N$2</f>
        <v>29260</v>
      </c>
      <c r="I18" s="2" t="str">
        <f>TEXT(Tabela1[[#This Row],[data]],"mmmm")</f>
        <v>październik</v>
      </c>
      <c r="J18" s="2" t="s">
        <v>1</v>
      </c>
    </row>
    <row r="19" spans="1:10">
      <c r="A19" s="1">
        <v>41944</v>
      </c>
      <c r="B19">
        <v>18</v>
      </c>
      <c r="C19">
        <v>163</v>
      </c>
      <c r="D19">
        <v>75</v>
      </c>
      <c r="E19" s="2">
        <f>SUM(Tabela1[[#This Row],[kostka]:[miał]])</f>
        <v>256</v>
      </c>
      <c r="F19" s="2">
        <f>Tabela1[[#This Row],[kostka]]*L$2</f>
        <v>12330</v>
      </c>
      <c r="G19" s="2">
        <f>Tabela1[[#This Row],[orzech]]*M$2</f>
        <v>102690</v>
      </c>
      <c r="H19" s="2">
        <f>Tabela1[[#This Row],[miał]]*N$2</f>
        <v>28500</v>
      </c>
      <c r="I19" s="2" t="str">
        <f>TEXT(Tabela1[[#This Row],[data]],"mmmm")</f>
        <v>listopad</v>
      </c>
      <c r="J19" s="2" t="s">
        <v>2</v>
      </c>
    </row>
    <row r="20" spans="1:10">
      <c r="A20" s="1">
        <v>41945</v>
      </c>
      <c r="B20">
        <v>43</v>
      </c>
      <c r="C20">
        <v>169</v>
      </c>
      <c r="D20">
        <v>0</v>
      </c>
      <c r="E20" s="2">
        <f>SUM(Tabela1[[#This Row],[kostka]:[miał]])</f>
        <v>212</v>
      </c>
      <c r="F20" s="2">
        <f>Tabela1[[#This Row],[kostka]]*L$2</f>
        <v>29455</v>
      </c>
      <c r="G20" s="2">
        <f>Tabela1[[#This Row],[orzech]]*M$2</f>
        <v>106470</v>
      </c>
      <c r="H20" s="2">
        <f>Tabela1[[#This Row],[miał]]*N$2</f>
        <v>0</v>
      </c>
      <c r="I20" s="2" t="str">
        <f>TEXT(Tabela1[[#This Row],[data]],"mmmm")</f>
        <v>listopad</v>
      </c>
      <c r="J20" s="2" t="s">
        <v>2</v>
      </c>
    </row>
    <row r="21" spans="1:10">
      <c r="A21" s="1">
        <v>41946</v>
      </c>
      <c r="B21">
        <v>160</v>
      </c>
      <c r="C21">
        <v>135</v>
      </c>
      <c r="D21">
        <v>34</v>
      </c>
      <c r="E21" s="2">
        <f>SUM(Tabela1[[#This Row],[kostka]:[miał]])</f>
        <v>329</v>
      </c>
      <c r="F21" s="2">
        <f>Tabela1[[#This Row],[kostka]]*L$2</f>
        <v>109600</v>
      </c>
      <c r="G21" s="2">
        <f>Tabela1[[#This Row],[orzech]]*M$2</f>
        <v>85050</v>
      </c>
      <c r="H21" s="2">
        <f>Tabela1[[#This Row],[miał]]*N$2</f>
        <v>12920</v>
      </c>
      <c r="I21" s="2" t="str">
        <f>TEXT(Tabela1[[#This Row],[data]],"mmmm")</f>
        <v>listopad</v>
      </c>
      <c r="J21" s="2" t="s">
        <v>1</v>
      </c>
    </row>
    <row r="22" spans="1:10">
      <c r="A22" s="1">
        <v>41947</v>
      </c>
      <c r="B22">
        <v>150</v>
      </c>
      <c r="C22">
        <v>89</v>
      </c>
      <c r="D22">
        <v>17</v>
      </c>
      <c r="E22" s="2">
        <f>SUM(Tabela1[[#This Row],[kostka]:[miał]])</f>
        <v>256</v>
      </c>
      <c r="F22" s="2">
        <f>Tabela1[[#This Row],[kostka]]*L$2</f>
        <v>102750</v>
      </c>
      <c r="G22" s="2">
        <f>Tabela1[[#This Row],[orzech]]*M$2</f>
        <v>56070</v>
      </c>
      <c r="H22" s="2">
        <f>Tabela1[[#This Row],[miał]]*N$2</f>
        <v>6460</v>
      </c>
      <c r="I22" s="2" t="str">
        <f>TEXT(Tabela1[[#This Row],[data]],"mmmm")</f>
        <v>listopad</v>
      </c>
      <c r="J22" s="2" t="s">
        <v>2</v>
      </c>
    </row>
    <row r="23" spans="1:10">
      <c r="A23" s="1">
        <v>41948</v>
      </c>
      <c r="B23">
        <v>57</v>
      </c>
      <c r="C23">
        <v>109</v>
      </c>
      <c r="D23">
        <v>93</v>
      </c>
      <c r="E23" s="2">
        <f>SUM(Tabela1[[#This Row],[kostka]:[miał]])</f>
        <v>259</v>
      </c>
      <c r="F23" s="2">
        <f>Tabela1[[#This Row],[kostka]]*L$2</f>
        <v>39045</v>
      </c>
      <c r="G23" s="2">
        <f>Tabela1[[#This Row],[orzech]]*M$2</f>
        <v>68670</v>
      </c>
      <c r="H23" s="2">
        <f>Tabela1[[#This Row],[miał]]*N$2</f>
        <v>35340</v>
      </c>
      <c r="I23" s="2" t="str">
        <f>TEXT(Tabela1[[#This Row],[data]],"mmmm")</f>
        <v>listopad</v>
      </c>
      <c r="J23" s="2" t="s">
        <v>1</v>
      </c>
    </row>
    <row r="24" spans="1:10">
      <c r="A24" s="1">
        <v>41949</v>
      </c>
      <c r="B24">
        <v>62</v>
      </c>
      <c r="C24">
        <v>80</v>
      </c>
      <c r="D24">
        <v>62</v>
      </c>
      <c r="E24" s="2">
        <f>SUM(Tabela1[[#This Row],[kostka]:[miał]])</f>
        <v>204</v>
      </c>
      <c r="F24" s="2">
        <f>Tabela1[[#This Row],[kostka]]*L$2</f>
        <v>42470</v>
      </c>
      <c r="G24" s="2">
        <f>Tabela1[[#This Row],[orzech]]*M$2</f>
        <v>50400</v>
      </c>
      <c r="H24" s="2">
        <f>Tabela1[[#This Row],[miał]]*N$2</f>
        <v>23560</v>
      </c>
      <c r="I24" s="2" t="str">
        <f>TEXT(Tabela1[[#This Row],[data]],"mmmm")</f>
        <v>listopad</v>
      </c>
      <c r="J24" s="2" t="s">
        <v>2</v>
      </c>
    </row>
    <row r="25" spans="1:10">
      <c r="A25" s="1">
        <v>41950</v>
      </c>
      <c r="B25">
        <v>162</v>
      </c>
      <c r="C25">
        <v>62</v>
      </c>
      <c r="D25">
        <v>88</v>
      </c>
      <c r="E25" s="2">
        <f>SUM(Tabela1[[#This Row],[kostka]:[miał]])</f>
        <v>312</v>
      </c>
      <c r="F25" s="2">
        <f>Tabela1[[#This Row],[kostka]]*L$2</f>
        <v>110970</v>
      </c>
      <c r="G25" s="2">
        <f>Tabela1[[#This Row],[orzech]]*M$2</f>
        <v>39060</v>
      </c>
      <c r="H25" s="2">
        <f>Tabela1[[#This Row],[miał]]*N$2</f>
        <v>33440</v>
      </c>
      <c r="I25" s="2" t="str">
        <f>TEXT(Tabela1[[#This Row],[data]],"mmmm")</f>
        <v>listopad</v>
      </c>
      <c r="J25" s="2" t="s">
        <v>1</v>
      </c>
    </row>
    <row r="26" spans="1:10">
      <c r="A26" s="1">
        <v>41951</v>
      </c>
      <c r="B26">
        <v>142</v>
      </c>
      <c r="C26">
        <v>79</v>
      </c>
      <c r="D26">
        <v>76</v>
      </c>
      <c r="E26" s="2">
        <f>SUM(Tabela1[[#This Row],[kostka]:[miał]])</f>
        <v>297</v>
      </c>
      <c r="F26" s="2">
        <f>Tabela1[[#This Row],[kostka]]*L$2</f>
        <v>97270</v>
      </c>
      <c r="G26" s="2">
        <f>Tabela1[[#This Row],[orzech]]*M$2</f>
        <v>49770</v>
      </c>
      <c r="H26" s="2">
        <f>Tabela1[[#This Row],[miał]]*N$2</f>
        <v>28880</v>
      </c>
      <c r="I26" s="2" t="str">
        <f>TEXT(Tabela1[[#This Row],[data]],"mmmm")</f>
        <v>listopad</v>
      </c>
      <c r="J26" s="2" t="s">
        <v>1</v>
      </c>
    </row>
    <row r="27" spans="1:10">
      <c r="A27" s="1">
        <v>41952</v>
      </c>
      <c r="B27">
        <v>7</v>
      </c>
      <c r="C27">
        <v>30</v>
      </c>
      <c r="D27">
        <v>68</v>
      </c>
      <c r="E27" s="2">
        <f>SUM(Tabela1[[#This Row],[kostka]:[miał]])</f>
        <v>105</v>
      </c>
      <c r="F27" s="2">
        <f>Tabela1[[#This Row],[kostka]]*L$2</f>
        <v>4795</v>
      </c>
      <c r="G27" s="2">
        <f>Tabela1[[#This Row],[orzech]]*M$2</f>
        <v>18900</v>
      </c>
      <c r="H27" s="2">
        <f>Tabela1[[#This Row],[miał]]*N$2</f>
        <v>25840</v>
      </c>
      <c r="I27" s="2" t="str">
        <f>TEXT(Tabela1[[#This Row],[data]],"mmmm")</f>
        <v>listopad</v>
      </c>
      <c r="J27" s="2" t="s">
        <v>2</v>
      </c>
    </row>
    <row r="28" spans="1:10">
      <c r="A28" s="1">
        <v>41953</v>
      </c>
      <c r="B28">
        <v>116</v>
      </c>
      <c r="C28">
        <v>6</v>
      </c>
      <c r="D28">
        <v>88</v>
      </c>
      <c r="E28" s="2">
        <f>SUM(Tabela1[[#This Row],[kostka]:[miał]])</f>
        <v>210</v>
      </c>
      <c r="F28" s="2">
        <f>Tabela1[[#This Row],[kostka]]*L$2</f>
        <v>79460</v>
      </c>
      <c r="G28" s="2">
        <f>Tabela1[[#This Row],[orzech]]*M$2</f>
        <v>3780</v>
      </c>
      <c r="H28" s="2">
        <f>Tabela1[[#This Row],[miał]]*N$2</f>
        <v>33440</v>
      </c>
      <c r="I28" s="2" t="str">
        <f>TEXT(Tabela1[[#This Row],[data]],"mmmm")</f>
        <v>listopad</v>
      </c>
      <c r="J28" s="2" t="s">
        <v>3</v>
      </c>
    </row>
    <row r="29" spans="1:10">
      <c r="A29" s="1">
        <v>41954</v>
      </c>
      <c r="B29">
        <v>0</v>
      </c>
      <c r="C29">
        <v>1</v>
      </c>
      <c r="D29">
        <v>47</v>
      </c>
      <c r="E29" s="2">
        <f>SUM(Tabela1[[#This Row],[kostka]:[miał]])</f>
        <v>48</v>
      </c>
      <c r="F29" s="2">
        <f>Tabela1[[#This Row],[kostka]]*L$2</f>
        <v>0</v>
      </c>
      <c r="G29" s="2">
        <f>Tabela1[[#This Row],[orzech]]*M$2</f>
        <v>630</v>
      </c>
      <c r="H29" s="2">
        <f>Tabela1[[#This Row],[miał]]*N$2</f>
        <v>17860</v>
      </c>
      <c r="I29" s="2" t="str">
        <f>TEXT(Tabela1[[#This Row],[data]],"mmmm")</f>
        <v>listopad</v>
      </c>
      <c r="J29" s="2" t="s">
        <v>3</v>
      </c>
    </row>
    <row r="30" spans="1:10">
      <c r="A30" s="1">
        <v>41955</v>
      </c>
      <c r="B30">
        <v>78</v>
      </c>
      <c r="C30">
        <v>84</v>
      </c>
      <c r="D30">
        <v>16</v>
      </c>
      <c r="E30" s="2">
        <f>SUM(Tabela1[[#This Row],[kostka]:[miał]])</f>
        <v>178</v>
      </c>
      <c r="F30" s="2">
        <f>Tabela1[[#This Row],[kostka]]*L$2</f>
        <v>53430</v>
      </c>
      <c r="G30" s="2">
        <f>Tabela1[[#This Row],[orzech]]*M$2</f>
        <v>52920</v>
      </c>
      <c r="H30" s="2">
        <f>Tabela1[[#This Row],[miał]]*N$2</f>
        <v>6080</v>
      </c>
      <c r="I30" s="2" t="str">
        <f>TEXT(Tabela1[[#This Row],[data]],"mmmm")</f>
        <v>listopad</v>
      </c>
      <c r="J30" s="2" t="s">
        <v>1</v>
      </c>
    </row>
    <row r="31" spans="1:10">
      <c r="A31" s="1">
        <v>41956</v>
      </c>
      <c r="B31">
        <v>112</v>
      </c>
      <c r="C31">
        <v>140</v>
      </c>
      <c r="D31">
        <v>97</v>
      </c>
      <c r="E31" s="2">
        <f>SUM(Tabela1[[#This Row],[kostka]:[miał]])</f>
        <v>349</v>
      </c>
      <c r="F31" s="2">
        <f>Tabela1[[#This Row],[kostka]]*L$2</f>
        <v>76720</v>
      </c>
      <c r="G31" s="2">
        <f>Tabela1[[#This Row],[orzech]]*M$2</f>
        <v>88200</v>
      </c>
      <c r="H31" s="2">
        <f>Tabela1[[#This Row],[miał]]*N$2</f>
        <v>36860</v>
      </c>
      <c r="I31" s="2" t="str">
        <f>TEXT(Tabela1[[#This Row],[data]],"mmmm")</f>
        <v>listopad</v>
      </c>
      <c r="J31" s="2" t="s">
        <v>2</v>
      </c>
    </row>
    <row r="32" spans="1:10">
      <c r="A32" s="1">
        <v>41957</v>
      </c>
      <c r="B32">
        <v>109</v>
      </c>
      <c r="C32">
        <v>74</v>
      </c>
      <c r="D32">
        <v>53</v>
      </c>
      <c r="E32" s="2">
        <f>SUM(Tabela1[[#This Row],[kostka]:[miał]])</f>
        <v>236</v>
      </c>
      <c r="F32" s="2">
        <f>Tabela1[[#This Row],[kostka]]*L$2</f>
        <v>74665</v>
      </c>
      <c r="G32" s="2">
        <f>Tabela1[[#This Row],[orzech]]*M$2</f>
        <v>46620</v>
      </c>
      <c r="H32" s="2">
        <f>Tabela1[[#This Row],[miał]]*N$2</f>
        <v>20140</v>
      </c>
      <c r="I32" s="2" t="str">
        <f>TEXT(Tabela1[[#This Row],[data]],"mmmm")</f>
        <v>listopad</v>
      </c>
      <c r="J32" s="2" t="s">
        <v>1</v>
      </c>
    </row>
    <row r="33" spans="1:10">
      <c r="A33" s="1">
        <v>41958</v>
      </c>
      <c r="B33">
        <v>121</v>
      </c>
      <c r="C33">
        <v>77</v>
      </c>
      <c r="D33">
        <v>70</v>
      </c>
      <c r="E33" s="2">
        <f>SUM(Tabela1[[#This Row],[kostka]:[miał]])</f>
        <v>268</v>
      </c>
      <c r="F33" s="2">
        <f>Tabela1[[#This Row],[kostka]]*L$2</f>
        <v>82885</v>
      </c>
      <c r="G33" s="2">
        <f>Tabela1[[#This Row],[orzech]]*M$2</f>
        <v>48510</v>
      </c>
      <c r="H33" s="2">
        <f>Tabela1[[#This Row],[miał]]*N$2</f>
        <v>26600</v>
      </c>
      <c r="I33" s="2" t="str">
        <f>TEXT(Tabela1[[#This Row],[data]],"mmmm")</f>
        <v>listopad</v>
      </c>
      <c r="J33" s="2" t="s">
        <v>3</v>
      </c>
    </row>
    <row r="34" spans="1:10">
      <c r="A34" s="1">
        <v>41959</v>
      </c>
      <c r="B34">
        <v>106</v>
      </c>
      <c r="C34">
        <v>89</v>
      </c>
      <c r="D34">
        <v>75</v>
      </c>
      <c r="E34" s="2">
        <f>SUM(Tabela1[[#This Row],[kostka]:[miał]])</f>
        <v>270</v>
      </c>
      <c r="F34" s="2">
        <f>Tabela1[[#This Row],[kostka]]*L$2</f>
        <v>72610</v>
      </c>
      <c r="G34" s="2">
        <f>Tabela1[[#This Row],[orzech]]*M$2</f>
        <v>56070</v>
      </c>
      <c r="H34" s="2">
        <f>Tabela1[[#This Row],[miał]]*N$2</f>
        <v>28500</v>
      </c>
      <c r="I34" s="2" t="str">
        <f>TEXT(Tabela1[[#This Row],[data]],"mmmm")</f>
        <v>listopad</v>
      </c>
      <c r="J34" s="2" t="s">
        <v>1</v>
      </c>
    </row>
    <row r="35" spans="1:10">
      <c r="A35" s="1">
        <v>41960</v>
      </c>
      <c r="B35">
        <v>57</v>
      </c>
      <c r="C35">
        <v>119</v>
      </c>
      <c r="D35">
        <v>64</v>
      </c>
      <c r="E35" s="2">
        <f>SUM(Tabela1[[#This Row],[kostka]:[miał]])</f>
        <v>240</v>
      </c>
      <c r="F35" s="2">
        <f>Tabela1[[#This Row],[kostka]]*L$2</f>
        <v>39045</v>
      </c>
      <c r="G35" s="2">
        <f>Tabela1[[#This Row],[orzech]]*M$2</f>
        <v>74970</v>
      </c>
      <c r="H35" s="2">
        <f>Tabela1[[#This Row],[miał]]*N$2</f>
        <v>24320</v>
      </c>
      <c r="I35" s="2" t="str">
        <f>TEXT(Tabela1[[#This Row],[data]],"mmmm")</f>
        <v>listopad</v>
      </c>
      <c r="J35" s="2" t="s">
        <v>2</v>
      </c>
    </row>
    <row r="36" spans="1:10">
      <c r="A36" s="1">
        <v>41961</v>
      </c>
      <c r="B36">
        <v>26</v>
      </c>
      <c r="C36">
        <v>87</v>
      </c>
      <c r="D36">
        <v>84</v>
      </c>
      <c r="E36" s="2">
        <f>SUM(Tabela1[[#This Row],[kostka]:[miał]])</f>
        <v>197</v>
      </c>
      <c r="F36" s="2">
        <f>Tabela1[[#This Row],[kostka]]*L$2</f>
        <v>17810</v>
      </c>
      <c r="G36" s="2">
        <f>Tabela1[[#This Row],[orzech]]*M$2</f>
        <v>54810</v>
      </c>
      <c r="H36" s="2">
        <f>Tabela1[[#This Row],[miał]]*N$2</f>
        <v>31920</v>
      </c>
      <c r="I36" s="2" t="str">
        <f>TEXT(Tabela1[[#This Row],[data]],"mmmm")</f>
        <v>listopad</v>
      </c>
      <c r="J36" s="2" t="s">
        <v>3</v>
      </c>
    </row>
    <row r="37" spans="1:10">
      <c r="A37" s="1">
        <v>41962</v>
      </c>
      <c r="B37">
        <v>79</v>
      </c>
      <c r="C37">
        <v>171</v>
      </c>
      <c r="D37">
        <v>75</v>
      </c>
      <c r="E37" s="2">
        <f>SUM(Tabela1[[#This Row],[kostka]:[miał]])</f>
        <v>325</v>
      </c>
      <c r="F37" s="2">
        <f>Tabela1[[#This Row],[kostka]]*L$2</f>
        <v>54115</v>
      </c>
      <c r="G37" s="2">
        <f>Tabela1[[#This Row],[orzech]]*M$2</f>
        <v>107730</v>
      </c>
      <c r="H37" s="2">
        <f>Tabela1[[#This Row],[miał]]*N$2</f>
        <v>28500</v>
      </c>
      <c r="I37" s="2" t="str">
        <f>TEXT(Tabela1[[#This Row],[data]],"mmmm")</f>
        <v>listopad</v>
      </c>
      <c r="J37" s="2" t="s">
        <v>1</v>
      </c>
    </row>
    <row r="38" spans="1:10">
      <c r="A38" s="1">
        <v>41963</v>
      </c>
      <c r="B38">
        <v>192</v>
      </c>
      <c r="C38">
        <v>151</v>
      </c>
      <c r="D38">
        <v>45</v>
      </c>
      <c r="E38" s="2">
        <f>SUM(Tabela1[[#This Row],[kostka]:[miał]])</f>
        <v>388</v>
      </c>
      <c r="F38" s="2">
        <f>Tabela1[[#This Row],[kostka]]*L$2</f>
        <v>131520</v>
      </c>
      <c r="G38" s="2">
        <f>Tabela1[[#This Row],[orzech]]*M$2</f>
        <v>95130</v>
      </c>
      <c r="H38" s="2">
        <f>Tabela1[[#This Row],[miał]]*N$2</f>
        <v>17100</v>
      </c>
      <c r="I38" s="2" t="str">
        <f>TEXT(Tabela1[[#This Row],[data]],"mmmm")</f>
        <v>listopad</v>
      </c>
      <c r="J38" s="2" t="s">
        <v>1</v>
      </c>
    </row>
    <row r="39" spans="1:10">
      <c r="A39" s="1">
        <v>41964</v>
      </c>
      <c r="B39">
        <v>9</v>
      </c>
      <c r="C39">
        <v>64</v>
      </c>
      <c r="D39">
        <v>22</v>
      </c>
      <c r="E39" s="2">
        <f>SUM(Tabela1[[#This Row],[kostka]:[miał]])</f>
        <v>95</v>
      </c>
      <c r="F39" s="2">
        <f>Tabela1[[#This Row],[kostka]]*L$2</f>
        <v>6165</v>
      </c>
      <c r="G39" s="2">
        <f>Tabela1[[#This Row],[orzech]]*M$2</f>
        <v>40320</v>
      </c>
      <c r="H39" s="2">
        <f>Tabela1[[#This Row],[miał]]*N$2</f>
        <v>8360</v>
      </c>
      <c r="I39" s="2" t="str">
        <f>TEXT(Tabela1[[#This Row],[data]],"mmmm")</f>
        <v>listopad</v>
      </c>
      <c r="J39" s="2" t="s">
        <v>2</v>
      </c>
    </row>
    <row r="40" spans="1:10">
      <c r="A40" s="1">
        <v>41965</v>
      </c>
      <c r="B40">
        <v>123</v>
      </c>
      <c r="C40">
        <v>150</v>
      </c>
      <c r="D40">
        <v>10</v>
      </c>
      <c r="E40" s="2">
        <f>SUM(Tabela1[[#This Row],[kostka]:[miał]])</f>
        <v>283</v>
      </c>
      <c r="F40" s="2">
        <f>Tabela1[[#This Row],[kostka]]*L$2</f>
        <v>84255</v>
      </c>
      <c r="G40" s="2">
        <f>Tabela1[[#This Row],[orzech]]*M$2</f>
        <v>94500</v>
      </c>
      <c r="H40" s="2">
        <f>Tabela1[[#This Row],[miał]]*N$2</f>
        <v>3800</v>
      </c>
      <c r="I40" s="2" t="str">
        <f>TEXT(Tabela1[[#This Row],[data]],"mmmm")</f>
        <v>listopad</v>
      </c>
      <c r="J40" s="2" t="s">
        <v>2</v>
      </c>
    </row>
    <row r="41" spans="1:10">
      <c r="A41" s="1">
        <v>41966</v>
      </c>
      <c r="B41">
        <v>87</v>
      </c>
      <c r="C41">
        <v>123</v>
      </c>
      <c r="D41">
        <v>33</v>
      </c>
      <c r="E41" s="2">
        <f>SUM(Tabela1[[#This Row],[kostka]:[miał]])</f>
        <v>243</v>
      </c>
      <c r="F41" s="2">
        <f>Tabela1[[#This Row],[kostka]]*L$2</f>
        <v>59595</v>
      </c>
      <c r="G41" s="2">
        <f>Tabela1[[#This Row],[orzech]]*M$2</f>
        <v>77490</v>
      </c>
      <c r="H41" s="2">
        <f>Tabela1[[#This Row],[miał]]*N$2</f>
        <v>12540</v>
      </c>
      <c r="I41" s="2" t="str">
        <f>TEXT(Tabela1[[#This Row],[data]],"mmmm")</f>
        <v>listopad</v>
      </c>
      <c r="J41" s="2" t="s">
        <v>1</v>
      </c>
    </row>
    <row r="42" spans="1:10">
      <c r="A42" s="1">
        <v>41967</v>
      </c>
      <c r="B42">
        <v>165</v>
      </c>
      <c r="C42">
        <v>88</v>
      </c>
      <c r="D42">
        <v>13</v>
      </c>
      <c r="E42" s="2">
        <f>SUM(Tabela1[[#This Row],[kostka]:[miał]])</f>
        <v>266</v>
      </c>
      <c r="F42" s="2">
        <f>Tabela1[[#This Row],[kostka]]*L$2</f>
        <v>113025</v>
      </c>
      <c r="G42" s="2">
        <f>Tabela1[[#This Row],[orzech]]*M$2</f>
        <v>55440</v>
      </c>
      <c r="H42" s="2">
        <f>Tabela1[[#This Row],[miał]]*N$2</f>
        <v>4940</v>
      </c>
      <c r="I42" s="2" t="str">
        <f>TEXT(Tabela1[[#This Row],[data]],"mmmm")</f>
        <v>listopad</v>
      </c>
      <c r="J42" s="2" t="s">
        <v>1</v>
      </c>
    </row>
    <row r="43" spans="1:10">
      <c r="A43" s="1">
        <v>41968</v>
      </c>
      <c r="B43">
        <v>144</v>
      </c>
      <c r="C43">
        <v>78</v>
      </c>
      <c r="D43">
        <v>82</v>
      </c>
      <c r="E43" s="2">
        <f>SUM(Tabela1[[#This Row],[kostka]:[miał]])</f>
        <v>304</v>
      </c>
      <c r="F43" s="2">
        <f>Tabela1[[#This Row],[kostka]]*L$2</f>
        <v>98640</v>
      </c>
      <c r="G43" s="2">
        <f>Tabela1[[#This Row],[orzech]]*M$2</f>
        <v>49140</v>
      </c>
      <c r="H43" s="2">
        <f>Tabela1[[#This Row],[miał]]*N$2</f>
        <v>31160</v>
      </c>
      <c r="I43" s="2" t="str">
        <f>TEXT(Tabela1[[#This Row],[data]],"mmmm")</f>
        <v>listopad</v>
      </c>
      <c r="J43" s="2" t="s">
        <v>2</v>
      </c>
    </row>
    <row r="44" spans="1:10">
      <c r="A44" s="1">
        <v>41969</v>
      </c>
      <c r="B44">
        <v>54</v>
      </c>
      <c r="C44">
        <v>38</v>
      </c>
      <c r="D44">
        <v>68</v>
      </c>
      <c r="E44" s="2">
        <f>SUM(Tabela1[[#This Row],[kostka]:[miał]])</f>
        <v>160</v>
      </c>
      <c r="F44" s="2">
        <f>Tabela1[[#This Row],[kostka]]*L$2</f>
        <v>36990</v>
      </c>
      <c r="G44" s="2">
        <f>Tabela1[[#This Row],[orzech]]*M$2</f>
        <v>23940</v>
      </c>
      <c r="H44" s="2">
        <f>Tabela1[[#This Row],[miał]]*N$2</f>
        <v>25840</v>
      </c>
      <c r="I44" s="2" t="str">
        <f>TEXT(Tabela1[[#This Row],[data]],"mmmm")</f>
        <v>listopad</v>
      </c>
      <c r="J44" s="2" t="s">
        <v>1</v>
      </c>
    </row>
    <row r="45" spans="1:10">
      <c r="A45" s="1">
        <v>41970</v>
      </c>
      <c r="B45">
        <v>188</v>
      </c>
      <c r="C45">
        <v>44</v>
      </c>
      <c r="D45">
        <v>86</v>
      </c>
      <c r="E45" s="2">
        <f>SUM(Tabela1[[#This Row],[kostka]:[miał]])</f>
        <v>318</v>
      </c>
      <c r="F45" s="2">
        <f>Tabela1[[#This Row],[kostka]]*L$2</f>
        <v>128780</v>
      </c>
      <c r="G45" s="2">
        <f>Tabela1[[#This Row],[orzech]]*M$2</f>
        <v>27720</v>
      </c>
      <c r="H45" s="2">
        <f>Tabela1[[#This Row],[miał]]*N$2</f>
        <v>32680</v>
      </c>
      <c r="I45" s="2" t="str">
        <f>TEXT(Tabela1[[#This Row],[data]],"mmmm")</f>
        <v>listopad</v>
      </c>
      <c r="J45" s="2" t="s">
        <v>2</v>
      </c>
    </row>
    <row r="46" spans="1:10">
      <c r="A46" s="1">
        <v>41971</v>
      </c>
      <c r="B46">
        <v>165</v>
      </c>
      <c r="C46">
        <v>170</v>
      </c>
      <c r="D46">
        <v>62</v>
      </c>
      <c r="E46" s="2">
        <f>SUM(Tabela1[[#This Row],[kostka]:[miał]])</f>
        <v>397</v>
      </c>
      <c r="F46" s="2">
        <f>Tabela1[[#This Row],[kostka]]*L$2</f>
        <v>113025</v>
      </c>
      <c r="G46" s="2">
        <f>Tabela1[[#This Row],[orzech]]*M$2</f>
        <v>107100</v>
      </c>
      <c r="H46" s="2">
        <f>Tabela1[[#This Row],[miał]]*N$2</f>
        <v>23560</v>
      </c>
      <c r="I46" s="2" t="str">
        <f>TEXT(Tabela1[[#This Row],[data]],"mmmm")</f>
        <v>listopad</v>
      </c>
      <c r="J46" s="2" t="s">
        <v>1</v>
      </c>
    </row>
    <row r="47" spans="1:10">
      <c r="A47" s="1">
        <v>41972</v>
      </c>
      <c r="B47">
        <v>24</v>
      </c>
      <c r="C47">
        <v>94</v>
      </c>
      <c r="D47">
        <v>87</v>
      </c>
      <c r="E47" s="2">
        <f>SUM(Tabela1[[#This Row],[kostka]:[miał]])</f>
        <v>205</v>
      </c>
      <c r="F47" s="2">
        <f>Tabela1[[#This Row],[kostka]]*L$2</f>
        <v>16440</v>
      </c>
      <c r="G47" s="2">
        <f>Tabela1[[#This Row],[orzech]]*M$2</f>
        <v>59220</v>
      </c>
      <c r="H47" s="2">
        <f>Tabela1[[#This Row],[miał]]*N$2</f>
        <v>33060</v>
      </c>
      <c r="I47" s="2" t="str">
        <f>TEXT(Tabela1[[#This Row],[data]],"mmmm")</f>
        <v>listopad</v>
      </c>
      <c r="J47" s="2" t="s">
        <v>2</v>
      </c>
    </row>
    <row r="48" spans="1:10">
      <c r="A48" s="1">
        <v>41973</v>
      </c>
      <c r="B48">
        <v>0</v>
      </c>
      <c r="C48">
        <v>120</v>
      </c>
      <c r="D48">
        <v>60</v>
      </c>
      <c r="E48" s="2">
        <f>SUM(Tabela1[[#This Row],[kostka]:[miał]])</f>
        <v>180</v>
      </c>
      <c r="F48" s="2">
        <f>Tabela1[[#This Row],[kostka]]*L$2</f>
        <v>0</v>
      </c>
      <c r="G48" s="2">
        <f>Tabela1[[#This Row],[orzech]]*M$2</f>
        <v>75600</v>
      </c>
      <c r="H48" s="2">
        <f>Tabela1[[#This Row],[miał]]*N$2</f>
        <v>22800</v>
      </c>
      <c r="I48" s="2" t="str">
        <f>TEXT(Tabela1[[#This Row],[data]],"mmmm")</f>
        <v>listopad</v>
      </c>
      <c r="J48" s="2" t="s">
        <v>3</v>
      </c>
    </row>
    <row r="49" spans="1:10">
      <c r="A49" s="1">
        <v>41974</v>
      </c>
      <c r="B49">
        <v>101</v>
      </c>
      <c r="C49">
        <v>53</v>
      </c>
      <c r="D49">
        <v>62</v>
      </c>
      <c r="E49" s="2">
        <f>SUM(Tabela1[[#This Row],[kostka]:[miał]])</f>
        <v>216</v>
      </c>
      <c r="F49" s="2">
        <f>Tabela1[[#This Row],[kostka]]*L$2</f>
        <v>69185</v>
      </c>
      <c r="G49" s="2">
        <f>Tabela1[[#This Row],[orzech]]*M$2</f>
        <v>33390</v>
      </c>
      <c r="H49" s="2">
        <f>Tabela1[[#This Row],[miał]]*N$2</f>
        <v>23560</v>
      </c>
      <c r="I49" s="2" t="str">
        <f>TEXT(Tabela1[[#This Row],[data]],"mmmm")</f>
        <v>grudzień</v>
      </c>
      <c r="J49" s="2" t="s">
        <v>1</v>
      </c>
    </row>
    <row r="50" spans="1:10">
      <c r="A50" s="1">
        <v>41975</v>
      </c>
      <c r="B50">
        <v>67</v>
      </c>
      <c r="C50">
        <v>147</v>
      </c>
      <c r="D50">
        <v>20</v>
      </c>
      <c r="E50" s="2">
        <f>SUM(Tabela1[[#This Row],[kostka]:[miał]])</f>
        <v>234</v>
      </c>
      <c r="F50" s="2">
        <f>Tabela1[[#This Row],[kostka]]*L$2</f>
        <v>45895</v>
      </c>
      <c r="G50" s="2">
        <f>Tabela1[[#This Row],[orzech]]*M$2</f>
        <v>92610</v>
      </c>
      <c r="H50" s="2">
        <f>Tabela1[[#This Row],[miał]]*N$2</f>
        <v>7600</v>
      </c>
      <c r="I50" s="2" t="str">
        <f>TEXT(Tabela1[[#This Row],[data]],"mmmm")</f>
        <v>grudzień</v>
      </c>
      <c r="J50" s="2" t="s">
        <v>2</v>
      </c>
    </row>
    <row r="51" spans="1:10">
      <c r="A51" s="1">
        <v>41976</v>
      </c>
      <c r="B51">
        <v>109</v>
      </c>
      <c r="C51">
        <v>99</v>
      </c>
      <c r="D51">
        <v>70</v>
      </c>
      <c r="E51" s="2">
        <f>SUM(Tabela1[[#This Row],[kostka]:[miał]])</f>
        <v>278</v>
      </c>
      <c r="F51" s="2">
        <f>Tabela1[[#This Row],[kostka]]*L$2</f>
        <v>74665</v>
      </c>
      <c r="G51" s="2">
        <f>Tabela1[[#This Row],[orzech]]*M$2</f>
        <v>62370</v>
      </c>
      <c r="H51" s="2">
        <f>Tabela1[[#This Row],[miał]]*N$2</f>
        <v>26600</v>
      </c>
      <c r="I51" s="2" t="str">
        <f>TEXT(Tabela1[[#This Row],[data]],"mmmm")</f>
        <v>grudzień</v>
      </c>
      <c r="J51" s="2" t="s">
        <v>1</v>
      </c>
    </row>
    <row r="52" spans="1:10">
      <c r="A52" s="1">
        <v>41977</v>
      </c>
      <c r="B52">
        <v>22</v>
      </c>
      <c r="C52">
        <v>16</v>
      </c>
      <c r="D52">
        <v>59</v>
      </c>
      <c r="E52" s="2">
        <f>SUM(Tabela1[[#This Row],[kostka]:[miał]])</f>
        <v>97</v>
      </c>
      <c r="F52" s="2">
        <f>Tabela1[[#This Row],[kostka]]*L$2</f>
        <v>15070</v>
      </c>
      <c r="G52" s="2">
        <f>Tabela1[[#This Row],[orzech]]*M$2</f>
        <v>10080</v>
      </c>
      <c r="H52" s="2">
        <f>Tabela1[[#This Row],[miał]]*N$2</f>
        <v>22420</v>
      </c>
      <c r="I52" s="2" t="str">
        <f>TEXT(Tabela1[[#This Row],[data]],"mmmm")</f>
        <v>grudzień</v>
      </c>
      <c r="J52" s="2" t="s">
        <v>3</v>
      </c>
    </row>
    <row r="53" spans="1:10">
      <c r="A53" s="1">
        <v>41978</v>
      </c>
      <c r="B53">
        <v>5</v>
      </c>
      <c r="C53">
        <v>91</v>
      </c>
      <c r="D53">
        <v>73</v>
      </c>
      <c r="E53" s="2">
        <f>SUM(Tabela1[[#This Row],[kostka]:[miał]])</f>
        <v>169</v>
      </c>
      <c r="F53" s="2">
        <f>Tabela1[[#This Row],[kostka]]*L$2</f>
        <v>3425</v>
      </c>
      <c r="G53" s="2">
        <f>Tabela1[[#This Row],[orzech]]*M$2</f>
        <v>57330</v>
      </c>
      <c r="H53" s="2">
        <f>Tabela1[[#This Row],[miał]]*N$2</f>
        <v>27740</v>
      </c>
      <c r="I53" s="2" t="str">
        <f>TEXT(Tabela1[[#This Row],[data]],"mmmm")</f>
        <v>grudzień</v>
      </c>
      <c r="J53" s="2" t="s">
        <v>2</v>
      </c>
    </row>
    <row r="54" spans="1:10">
      <c r="A54" s="1">
        <v>41979</v>
      </c>
      <c r="B54">
        <v>105</v>
      </c>
      <c r="C54">
        <v>154</v>
      </c>
      <c r="D54">
        <v>48</v>
      </c>
      <c r="E54" s="2">
        <f>SUM(Tabela1[[#This Row],[kostka]:[miał]])</f>
        <v>307</v>
      </c>
      <c r="F54" s="2">
        <f>Tabela1[[#This Row],[kostka]]*L$2</f>
        <v>71925</v>
      </c>
      <c r="G54" s="2">
        <f>Tabela1[[#This Row],[orzech]]*M$2</f>
        <v>97020</v>
      </c>
      <c r="H54" s="2">
        <f>Tabela1[[#This Row],[miał]]*N$2</f>
        <v>18240</v>
      </c>
      <c r="I54" s="2" t="str">
        <f>TEXT(Tabela1[[#This Row],[data]],"mmmm")</f>
        <v>grudzień</v>
      </c>
      <c r="J54" s="2" t="s">
        <v>3</v>
      </c>
    </row>
    <row r="55" spans="1:10">
      <c r="A55" s="1">
        <v>41980</v>
      </c>
      <c r="B55">
        <v>108</v>
      </c>
      <c r="C55">
        <v>5</v>
      </c>
      <c r="D55">
        <v>71</v>
      </c>
      <c r="E55" s="2">
        <f>SUM(Tabela1[[#This Row],[kostka]:[miał]])</f>
        <v>184</v>
      </c>
      <c r="F55" s="2">
        <f>Tabela1[[#This Row],[kostka]]*L$2</f>
        <v>73980</v>
      </c>
      <c r="G55" s="2">
        <f>Tabela1[[#This Row],[orzech]]*M$2</f>
        <v>3150</v>
      </c>
      <c r="H55" s="2">
        <f>Tabela1[[#This Row],[miał]]*N$2</f>
        <v>26980</v>
      </c>
      <c r="I55" s="2" t="str">
        <f>TEXT(Tabela1[[#This Row],[data]],"mmmm")</f>
        <v>grudzień</v>
      </c>
      <c r="J55" s="2" t="s">
        <v>1</v>
      </c>
    </row>
    <row r="56" spans="1:10">
      <c r="A56" s="1">
        <v>41981</v>
      </c>
      <c r="B56">
        <v>64</v>
      </c>
      <c r="C56">
        <v>37</v>
      </c>
      <c r="D56">
        <v>89</v>
      </c>
      <c r="E56" s="2">
        <f>SUM(Tabela1[[#This Row],[kostka]:[miał]])</f>
        <v>190</v>
      </c>
      <c r="F56" s="2">
        <f>Tabela1[[#This Row],[kostka]]*L$2</f>
        <v>43840</v>
      </c>
      <c r="G56" s="2">
        <f>Tabela1[[#This Row],[orzech]]*M$2</f>
        <v>23310</v>
      </c>
      <c r="H56" s="2">
        <f>Tabela1[[#This Row],[miał]]*N$2</f>
        <v>33820</v>
      </c>
      <c r="I56" s="2" t="str">
        <f>TEXT(Tabela1[[#This Row],[data]],"mmmm")</f>
        <v>grudzień</v>
      </c>
      <c r="J56" s="2" t="s">
        <v>2</v>
      </c>
    </row>
    <row r="57" spans="1:10">
      <c r="A57" s="1">
        <v>41982</v>
      </c>
      <c r="B57">
        <v>114</v>
      </c>
      <c r="C57">
        <v>140</v>
      </c>
      <c r="D57">
        <v>36</v>
      </c>
      <c r="E57" s="2">
        <f>SUM(Tabela1[[#This Row],[kostka]:[miał]])</f>
        <v>290</v>
      </c>
      <c r="F57" s="2">
        <f>Tabela1[[#This Row],[kostka]]*L$2</f>
        <v>78090</v>
      </c>
      <c r="G57" s="2">
        <f>Tabela1[[#This Row],[orzech]]*M$2</f>
        <v>88200</v>
      </c>
      <c r="H57" s="2">
        <f>Tabela1[[#This Row],[miał]]*N$2</f>
        <v>13680</v>
      </c>
      <c r="I57" s="2" t="str">
        <f>TEXT(Tabela1[[#This Row],[data]],"mmmm")</f>
        <v>grudzień</v>
      </c>
      <c r="J57" s="2" t="s">
        <v>1</v>
      </c>
    </row>
    <row r="58" spans="1:10">
      <c r="A58" s="1">
        <v>41983</v>
      </c>
      <c r="B58">
        <v>147</v>
      </c>
      <c r="C58">
        <v>140</v>
      </c>
      <c r="D58">
        <v>61</v>
      </c>
      <c r="E58" s="2">
        <f>SUM(Tabela1[[#This Row],[kostka]:[miał]])</f>
        <v>348</v>
      </c>
      <c r="F58" s="2">
        <f>Tabela1[[#This Row],[kostka]]*L$2</f>
        <v>100695</v>
      </c>
      <c r="G58" s="2">
        <f>Tabela1[[#This Row],[orzech]]*M$2</f>
        <v>88200</v>
      </c>
      <c r="H58" s="2">
        <f>Tabela1[[#This Row],[miał]]*N$2</f>
        <v>23180</v>
      </c>
      <c r="I58" s="2" t="str">
        <f>TEXT(Tabela1[[#This Row],[data]],"mmmm")</f>
        <v>grudzień</v>
      </c>
      <c r="J58" s="2" t="s">
        <v>1</v>
      </c>
    </row>
    <row r="59" spans="1:10">
      <c r="A59" s="1">
        <v>41984</v>
      </c>
      <c r="B59">
        <v>69</v>
      </c>
      <c r="C59">
        <v>120</v>
      </c>
      <c r="D59">
        <v>52</v>
      </c>
      <c r="E59" s="2">
        <f>SUM(Tabela1[[#This Row],[kostka]:[miał]])</f>
        <v>241</v>
      </c>
      <c r="F59" s="2">
        <f>Tabela1[[#This Row],[kostka]]*L$2</f>
        <v>47265</v>
      </c>
      <c r="G59" s="2">
        <f>Tabela1[[#This Row],[orzech]]*M$2</f>
        <v>75600</v>
      </c>
      <c r="H59" s="2">
        <f>Tabela1[[#This Row],[miał]]*N$2</f>
        <v>19760</v>
      </c>
      <c r="I59" s="2" t="str">
        <f>TEXT(Tabela1[[#This Row],[data]],"mmmm")</f>
        <v>grudzień</v>
      </c>
      <c r="J59" s="2" t="s">
        <v>2</v>
      </c>
    </row>
    <row r="60" spans="1:10">
      <c r="A60" s="1">
        <v>41985</v>
      </c>
      <c r="B60">
        <v>101</v>
      </c>
      <c r="C60">
        <v>39</v>
      </c>
      <c r="D60">
        <v>10</v>
      </c>
      <c r="E60" s="2">
        <f>SUM(Tabela1[[#This Row],[kostka]:[miał]])</f>
        <v>150</v>
      </c>
      <c r="F60" s="2">
        <f>Tabela1[[#This Row],[kostka]]*L$2</f>
        <v>69185</v>
      </c>
      <c r="G60" s="2">
        <f>Tabela1[[#This Row],[orzech]]*M$2</f>
        <v>24570</v>
      </c>
      <c r="H60" s="2">
        <f>Tabela1[[#This Row],[miał]]*N$2</f>
        <v>3800</v>
      </c>
      <c r="I60" s="2" t="str">
        <f>TEXT(Tabela1[[#This Row],[data]],"mmmm")</f>
        <v>grudzień</v>
      </c>
      <c r="J60" s="2" t="s">
        <v>3</v>
      </c>
    </row>
    <row r="61" spans="1:10">
      <c r="A61" s="1">
        <v>41986</v>
      </c>
      <c r="B61">
        <v>158</v>
      </c>
      <c r="C61">
        <v>36</v>
      </c>
      <c r="D61">
        <v>79</v>
      </c>
      <c r="E61" s="2">
        <f>SUM(Tabela1[[#This Row],[kostka]:[miał]])</f>
        <v>273</v>
      </c>
      <c r="F61" s="2">
        <f>Tabela1[[#This Row],[kostka]]*L$2</f>
        <v>108230</v>
      </c>
      <c r="G61" s="2">
        <f>Tabela1[[#This Row],[orzech]]*M$2</f>
        <v>22680</v>
      </c>
      <c r="H61" s="2">
        <f>Tabela1[[#This Row],[miał]]*N$2</f>
        <v>30020</v>
      </c>
      <c r="I61" s="2" t="str">
        <f>TEXT(Tabela1[[#This Row],[data]],"mmmm")</f>
        <v>grudzień</v>
      </c>
      <c r="J61" s="2" t="s">
        <v>1</v>
      </c>
    </row>
    <row r="62" spans="1:10">
      <c r="A62" s="1">
        <v>41987</v>
      </c>
      <c r="B62">
        <v>79</v>
      </c>
      <c r="C62">
        <v>105</v>
      </c>
      <c r="D62">
        <v>73</v>
      </c>
      <c r="E62" s="2">
        <f>SUM(Tabela1[[#This Row],[kostka]:[miał]])</f>
        <v>257</v>
      </c>
      <c r="F62" s="2">
        <f>Tabela1[[#This Row],[kostka]]*L$2</f>
        <v>54115</v>
      </c>
      <c r="G62" s="2">
        <f>Tabela1[[#This Row],[orzech]]*M$2</f>
        <v>66150</v>
      </c>
      <c r="H62" s="2">
        <f>Tabela1[[#This Row],[miał]]*N$2</f>
        <v>27740</v>
      </c>
      <c r="I62" s="2" t="str">
        <f>TEXT(Tabela1[[#This Row],[data]],"mmmm")</f>
        <v>grudzień</v>
      </c>
      <c r="J62" s="2" t="s">
        <v>1</v>
      </c>
    </row>
    <row r="63" spans="1:10">
      <c r="A63" s="1">
        <v>41988</v>
      </c>
      <c r="B63">
        <v>5</v>
      </c>
      <c r="C63">
        <v>24</v>
      </c>
      <c r="D63">
        <v>43</v>
      </c>
      <c r="E63" s="2">
        <f>SUM(Tabela1[[#This Row],[kostka]:[miał]])</f>
        <v>72</v>
      </c>
      <c r="F63" s="2">
        <f>Tabela1[[#This Row],[kostka]]*L$2</f>
        <v>3425</v>
      </c>
      <c r="G63" s="2">
        <f>Tabela1[[#This Row],[orzech]]*M$2</f>
        <v>15120</v>
      </c>
      <c r="H63" s="2">
        <f>Tabela1[[#This Row],[miał]]*N$2</f>
        <v>16340</v>
      </c>
      <c r="I63" s="2" t="str">
        <f>TEXT(Tabela1[[#This Row],[data]],"mmmm")</f>
        <v>grudzień</v>
      </c>
      <c r="J63" s="2" t="s">
        <v>2</v>
      </c>
    </row>
    <row r="64" spans="1:10">
      <c r="A64" s="1">
        <v>41989</v>
      </c>
      <c r="B64">
        <v>68</v>
      </c>
      <c r="C64">
        <v>112</v>
      </c>
      <c r="D64">
        <v>25</v>
      </c>
      <c r="E64" s="2">
        <f>SUM(Tabela1[[#This Row],[kostka]:[miał]])</f>
        <v>205</v>
      </c>
      <c r="F64" s="2">
        <f>Tabela1[[#This Row],[kostka]]*L$2</f>
        <v>46580</v>
      </c>
      <c r="G64" s="2">
        <f>Tabela1[[#This Row],[orzech]]*M$2</f>
        <v>70560</v>
      </c>
      <c r="H64" s="2">
        <f>Tabela1[[#This Row],[miał]]*N$2</f>
        <v>9500</v>
      </c>
      <c r="I64" s="2" t="str">
        <f>TEXT(Tabela1[[#This Row],[data]],"mmmm")</f>
        <v>grudzień</v>
      </c>
      <c r="J64" s="2" t="s">
        <v>3</v>
      </c>
    </row>
    <row r="65" spans="1:10">
      <c r="A65" s="1">
        <v>41990</v>
      </c>
      <c r="B65">
        <v>37</v>
      </c>
      <c r="C65">
        <v>57</v>
      </c>
      <c r="D65">
        <v>81</v>
      </c>
      <c r="E65" s="2">
        <f>SUM(Tabela1[[#This Row],[kostka]:[miał]])</f>
        <v>175</v>
      </c>
      <c r="F65" s="2">
        <f>Tabela1[[#This Row],[kostka]]*L$2</f>
        <v>25345</v>
      </c>
      <c r="G65" s="2">
        <f>Tabela1[[#This Row],[orzech]]*M$2</f>
        <v>35910</v>
      </c>
      <c r="H65" s="2">
        <f>Tabela1[[#This Row],[miał]]*N$2</f>
        <v>30780</v>
      </c>
      <c r="I65" s="2" t="str">
        <f>TEXT(Tabela1[[#This Row],[data]],"mmmm")</f>
        <v>grudzień</v>
      </c>
      <c r="J65" s="2" t="s">
        <v>2</v>
      </c>
    </row>
    <row r="66" spans="1:10">
      <c r="A66" s="1">
        <v>41991</v>
      </c>
      <c r="B66">
        <v>188</v>
      </c>
      <c r="C66">
        <v>28</v>
      </c>
      <c r="D66">
        <v>7</v>
      </c>
      <c r="E66" s="2">
        <f>SUM(Tabela1[[#This Row],[kostka]:[miał]])</f>
        <v>223</v>
      </c>
      <c r="F66" s="2">
        <f>Tabela1[[#This Row],[kostka]]*L$2</f>
        <v>128780</v>
      </c>
      <c r="G66" s="2">
        <f>Tabela1[[#This Row],[orzech]]*M$2</f>
        <v>17640</v>
      </c>
      <c r="H66" s="2">
        <f>Tabela1[[#This Row],[miał]]*N$2</f>
        <v>2660</v>
      </c>
      <c r="I66" s="2" t="str">
        <f>TEXT(Tabela1[[#This Row],[data]],"mmmm")</f>
        <v>grudzień</v>
      </c>
      <c r="J66" s="2" t="s">
        <v>1</v>
      </c>
    </row>
    <row r="67" spans="1:10">
      <c r="A67" s="1">
        <v>41992</v>
      </c>
      <c r="B67">
        <v>167</v>
      </c>
      <c r="C67">
        <v>41</v>
      </c>
      <c r="D67">
        <v>45</v>
      </c>
      <c r="E67" s="2">
        <f>SUM(Tabela1[[#This Row],[kostka]:[miał]])</f>
        <v>253</v>
      </c>
      <c r="F67" s="2">
        <f>Tabela1[[#This Row],[kostka]]*L$2</f>
        <v>114395</v>
      </c>
      <c r="G67" s="2">
        <f>Tabela1[[#This Row],[orzech]]*M$2</f>
        <v>25830</v>
      </c>
      <c r="H67" s="2">
        <f>Tabela1[[#This Row],[miał]]*N$2</f>
        <v>17100</v>
      </c>
      <c r="I67" s="2" t="str">
        <f>TEXT(Tabela1[[#This Row],[data]],"mmmm")</f>
        <v>grudzień</v>
      </c>
      <c r="J67" s="2" t="s">
        <v>1</v>
      </c>
    </row>
    <row r="68" spans="1:10">
      <c r="A68" s="1">
        <v>41993</v>
      </c>
      <c r="B68">
        <v>197</v>
      </c>
      <c r="C68">
        <v>82</v>
      </c>
      <c r="D68">
        <v>43</v>
      </c>
      <c r="E68" s="2">
        <f>SUM(Tabela1[[#This Row],[kostka]:[miał]])</f>
        <v>322</v>
      </c>
      <c r="F68" s="2">
        <f>Tabela1[[#This Row],[kostka]]*L$2</f>
        <v>134945</v>
      </c>
      <c r="G68" s="2">
        <f>Tabela1[[#This Row],[orzech]]*M$2</f>
        <v>51660</v>
      </c>
      <c r="H68" s="2">
        <f>Tabela1[[#This Row],[miał]]*N$2</f>
        <v>16340</v>
      </c>
      <c r="I68" s="2" t="str">
        <f>TEXT(Tabela1[[#This Row],[data]],"mmmm")</f>
        <v>grudzień</v>
      </c>
      <c r="J68" s="2" t="s">
        <v>1</v>
      </c>
    </row>
    <row r="69" spans="1:10">
      <c r="A69" s="1">
        <v>41994</v>
      </c>
      <c r="B69">
        <v>54</v>
      </c>
      <c r="C69">
        <v>130</v>
      </c>
      <c r="D69">
        <v>50</v>
      </c>
      <c r="E69" s="2">
        <f>SUM(Tabela1[[#This Row],[kostka]:[miał]])</f>
        <v>234</v>
      </c>
      <c r="F69" s="2">
        <f>Tabela1[[#This Row],[kostka]]*L$2</f>
        <v>36990</v>
      </c>
      <c r="G69" s="2">
        <f>Tabela1[[#This Row],[orzech]]*M$2</f>
        <v>81900</v>
      </c>
      <c r="H69" s="2">
        <f>Tabela1[[#This Row],[miał]]*N$2</f>
        <v>19000</v>
      </c>
      <c r="I69" s="2" t="str">
        <f>TEXT(Tabela1[[#This Row],[data]],"mmmm")</f>
        <v>grudzień</v>
      </c>
      <c r="J69" s="2" t="s">
        <v>2</v>
      </c>
    </row>
    <row r="70" spans="1:10">
      <c r="A70" s="1">
        <v>41995</v>
      </c>
      <c r="B70">
        <v>19</v>
      </c>
      <c r="C70">
        <v>153</v>
      </c>
      <c r="D70">
        <v>65</v>
      </c>
      <c r="E70" s="2">
        <f>SUM(Tabela1[[#This Row],[kostka]:[miał]])</f>
        <v>237</v>
      </c>
      <c r="F70" s="2">
        <f>Tabela1[[#This Row],[kostka]]*L$2</f>
        <v>13015</v>
      </c>
      <c r="G70" s="2">
        <f>Tabela1[[#This Row],[orzech]]*M$2</f>
        <v>96390</v>
      </c>
      <c r="H70" s="2">
        <f>Tabela1[[#This Row],[miał]]*N$2</f>
        <v>24700</v>
      </c>
      <c r="I70" s="2" t="str">
        <f>TEXT(Tabela1[[#This Row],[data]],"mmmm")</f>
        <v>grudzień</v>
      </c>
      <c r="J70" s="2" t="s">
        <v>3</v>
      </c>
    </row>
    <row r="71" spans="1:10">
      <c r="A71" s="1">
        <v>41996</v>
      </c>
      <c r="B71">
        <v>27</v>
      </c>
      <c r="C71">
        <v>160</v>
      </c>
      <c r="D71">
        <v>81</v>
      </c>
      <c r="E71" s="2">
        <f>SUM(Tabela1[[#This Row],[kostka]:[miał]])</f>
        <v>268</v>
      </c>
      <c r="F71" s="2">
        <f>Tabela1[[#This Row],[kostka]]*L$2</f>
        <v>18495</v>
      </c>
      <c r="G71" s="2">
        <f>Tabela1[[#This Row],[orzech]]*M$2</f>
        <v>100800</v>
      </c>
      <c r="H71" s="2">
        <f>Tabela1[[#This Row],[miał]]*N$2</f>
        <v>30780</v>
      </c>
      <c r="I71" s="2" t="str">
        <f>TEXT(Tabela1[[#This Row],[data]],"mmmm")</f>
        <v>grudzień</v>
      </c>
      <c r="J71" s="2" t="s">
        <v>2</v>
      </c>
    </row>
    <row r="72" spans="1:10">
      <c r="A72" s="1">
        <v>41997</v>
      </c>
      <c r="B72">
        <v>11</v>
      </c>
      <c r="C72">
        <v>140</v>
      </c>
      <c r="D72">
        <v>77</v>
      </c>
      <c r="E72" s="2">
        <f>SUM(Tabela1[[#This Row],[kostka]:[miał]])</f>
        <v>228</v>
      </c>
      <c r="F72" s="2">
        <f>Tabela1[[#This Row],[kostka]]*L$2</f>
        <v>7535</v>
      </c>
      <c r="G72" s="2">
        <f>Tabela1[[#This Row],[orzech]]*M$2</f>
        <v>88200</v>
      </c>
      <c r="H72" s="2">
        <f>Tabela1[[#This Row],[miał]]*N$2</f>
        <v>29260</v>
      </c>
      <c r="I72" s="2" t="str">
        <f>TEXT(Tabela1[[#This Row],[data]],"mmmm")</f>
        <v>grudzień</v>
      </c>
      <c r="J72" s="2" t="s">
        <v>1</v>
      </c>
    </row>
    <row r="73" spans="1:10">
      <c r="A73" s="1">
        <v>41998</v>
      </c>
      <c r="B73">
        <v>182</v>
      </c>
      <c r="C73">
        <v>50</v>
      </c>
      <c r="D73">
        <v>22</v>
      </c>
      <c r="E73" s="2">
        <f>SUM(Tabela1[[#This Row],[kostka]:[miał]])</f>
        <v>254</v>
      </c>
      <c r="F73" s="2">
        <f>Tabela1[[#This Row],[kostka]]*L$2</f>
        <v>124670</v>
      </c>
      <c r="G73" s="2">
        <f>Tabela1[[#This Row],[orzech]]*M$2</f>
        <v>31500</v>
      </c>
      <c r="H73" s="2">
        <f>Tabela1[[#This Row],[miał]]*N$2</f>
        <v>8360</v>
      </c>
      <c r="I73" s="2" t="str">
        <f>TEXT(Tabela1[[#This Row],[data]],"mmmm")</f>
        <v>grudzień</v>
      </c>
      <c r="J73" s="2" t="s">
        <v>2</v>
      </c>
    </row>
    <row r="74" spans="1:10">
      <c r="A74" s="1">
        <v>41999</v>
      </c>
      <c r="B74">
        <v>63</v>
      </c>
      <c r="C74">
        <v>83</v>
      </c>
      <c r="D74">
        <v>69</v>
      </c>
      <c r="E74" s="2">
        <f>SUM(Tabela1[[#This Row],[kostka]:[miał]])</f>
        <v>215</v>
      </c>
      <c r="F74" s="2">
        <f>Tabela1[[#This Row],[kostka]]*L$2</f>
        <v>43155</v>
      </c>
      <c r="G74" s="2">
        <f>Tabela1[[#This Row],[orzech]]*M$2</f>
        <v>52290</v>
      </c>
      <c r="H74" s="2">
        <f>Tabela1[[#This Row],[miał]]*N$2</f>
        <v>26220</v>
      </c>
      <c r="I74" s="2" t="str">
        <f>TEXT(Tabela1[[#This Row],[data]],"mmmm")</f>
        <v>grudzień</v>
      </c>
      <c r="J74" s="2" t="s">
        <v>1</v>
      </c>
    </row>
    <row r="75" spans="1:10">
      <c r="A75" s="1">
        <v>42000</v>
      </c>
      <c r="B75">
        <v>33</v>
      </c>
      <c r="C75">
        <v>59</v>
      </c>
      <c r="D75">
        <v>46</v>
      </c>
      <c r="E75" s="2">
        <f>SUM(Tabela1[[#This Row],[kostka]:[miał]])</f>
        <v>138</v>
      </c>
      <c r="F75" s="2">
        <f>Tabela1[[#This Row],[kostka]]*L$2</f>
        <v>22605</v>
      </c>
      <c r="G75" s="2">
        <f>Tabela1[[#This Row],[orzech]]*M$2</f>
        <v>37170</v>
      </c>
      <c r="H75" s="2">
        <f>Tabela1[[#This Row],[miał]]*N$2</f>
        <v>17480</v>
      </c>
      <c r="I75" s="2" t="str">
        <f>TEXT(Tabela1[[#This Row],[data]],"mmmm")</f>
        <v>grudzień</v>
      </c>
      <c r="J75" s="2" t="s">
        <v>3</v>
      </c>
    </row>
    <row r="76" spans="1:10">
      <c r="A76" s="1">
        <v>42001</v>
      </c>
      <c r="B76">
        <v>119</v>
      </c>
      <c r="C76">
        <v>57</v>
      </c>
      <c r="D76">
        <v>67</v>
      </c>
      <c r="E76" s="2">
        <f>SUM(Tabela1[[#This Row],[kostka]:[miał]])</f>
        <v>243</v>
      </c>
      <c r="F76" s="2">
        <f>Tabela1[[#This Row],[kostka]]*L$2</f>
        <v>81515</v>
      </c>
      <c r="G76" s="2">
        <f>Tabela1[[#This Row],[orzech]]*M$2</f>
        <v>35910</v>
      </c>
      <c r="H76" s="2">
        <f>Tabela1[[#This Row],[miał]]*N$2</f>
        <v>25460</v>
      </c>
      <c r="I76" s="2" t="str">
        <f>TEXT(Tabela1[[#This Row],[data]],"mmmm")</f>
        <v>grudzień</v>
      </c>
    </row>
    <row r="77" spans="1:10">
      <c r="A77" s="1">
        <v>42002</v>
      </c>
      <c r="B77">
        <v>58</v>
      </c>
      <c r="C77">
        <v>176</v>
      </c>
      <c r="D77">
        <v>16</v>
      </c>
      <c r="E77" s="2">
        <f>SUM(Tabela1[[#This Row],[kostka]:[miał]])</f>
        <v>250</v>
      </c>
      <c r="F77" s="2">
        <f>Tabela1[[#This Row],[kostka]]*L$2</f>
        <v>39730</v>
      </c>
      <c r="G77" s="2">
        <f>Tabela1[[#This Row],[orzech]]*M$2</f>
        <v>110880</v>
      </c>
      <c r="H77" s="2">
        <f>Tabela1[[#This Row],[miał]]*N$2</f>
        <v>6080</v>
      </c>
      <c r="I77" s="2" t="str">
        <f>TEXT(Tabela1[[#This Row],[data]],"mmmm")</f>
        <v>grudzień</v>
      </c>
      <c r="J77" s="2" t="s">
        <v>1</v>
      </c>
    </row>
    <row r="78" spans="1:10">
      <c r="A78" s="1">
        <v>42003</v>
      </c>
      <c r="B78">
        <v>174</v>
      </c>
      <c r="C78">
        <v>61</v>
      </c>
      <c r="D78">
        <v>46</v>
      </c>
      <c r="E78" s="2">
        <f>SUM(Tabela1[[#This Row],[kostka]:[miał]])</f>
        <v>281</v>
      </c>
      <c r="F78" s="2">
        <f>Tabela1[[#This Row],[kostka]]*L$2</f>
        <v>119190</v>
      </c>
      <c r="G78" s="2">
        <f>Tabela1[[#This Row],[orzech]]*M$2</f>
        <v>38430</v>
      </c>
      <c r="H78" s="2">
        <f>Tabela1[[#This Row],[miał]]*N$2</f>
        <v>17480</v>
      </c>
      <c r="I78" s="2" t="str">
        <f>TEXT(Tabela1[[#This Row],[data]],"mmmm")</f>
        <v>grudzień</v>
      </c>
      <c r="J78" s="2" t="s">
        <v>1</v>
      </c>
    </row>
    <row r="79" spans="1:10">
      <c r="A79" s="1">
        <v>42004</v>
      </c>
      <c r="B79">
        <v>45</v>
      </c>
      <c r="C79">
        <v>154</v>
      </c>
      <c r="D79">
        <v>0</v>
      </c>
      <c r="E79" s="2">
        <f>SUM(Tabela1[[#This Row],[kostka]:[miał]])</f>
        <v>199</v>
      </c>
      <c r="F79" s="2">
        <f>Tabela1[[#This Row],[kostka]]*L$2</f>
        <v>30825</v>
      </c>
      <c r="G79" s="2">
        <f>Tabela1[[#This Row],[orzech]]*M$2</f>
        <v>97020</v>
      </c>
      <c r="H79" s="2">
        <f>Tabela1[[#This Row],[miał]]*N$2</f>
        <v>0</v>
      </c>
      <c r="I79" s="2" t="str">
        <f>TEXT(Tabela1[[#This Row],[data]],"mmmm")</f>
        <v>grudzień</v>
      </c>
      <c r="J79" s="2" t="s">
        <v>2</v>
      </c>
    </row>
    <row r="80" spans="1:10">
      <c r="A80" s="1">
        <v>42005</v>
      </c>
      <c r="B80">
        <v>94</v>
      </c>
      <c r="C80">
        <v>120</v>
      </c>
      <c r="D80">
        <v>95</v>
      </c>
      <c r="E80" s="2">
        <f>SUM(Tabela1[[#This Row],[kostka]:[miał]])</f>
        <v>309</v>
      </c>
      <c r="F80" s="2">
        <f>Tabela1[[#This Row],[kostka]]*L$2</f>
        <v>64390</v>
      </c>
      <c r="G80" s="2">
        <f>Tabela1[[#This Row],[orzech]]*M$2</f>
        <v>75600</v>
      </c>
      <c r="H80" s="2">
        <f>Tabela1[[#This Row],[miał]]*N$2</f>
        <v>36100</v>
      </c>
      <c r="I80" s="2" t="str">
        <f>TEXT(Tabela1[[#This Row],[data]],"mmmm")</f>
        <v>styczeń</v>
      </c>
      <c r="J80" s="2" t="s">
        <v>2</v>
      </c>
    </row>
    <row r="81" spans="1:10">
      <c r="A81" s="1">
        <v>42006</v>
      </c>
      <c r="B81">
        <v>12</v>
      </c>
      <c r="C81">
        <v>5</v>
      </c>
      <c r="D81">
        <v>42</v>
      </c>
      <c r="E81" s="2">
        <f>SUM(Tabela1[[#This Row],[kostka]:[miał]])</f>
        <v>59</v>
      </c>
      <c r="F81" s="2">
        <f>Tabela1[[#This Row],[kostka]]*L$2</f>
        <v>8220</v>
      </c>
      <c r="G81" s="2">
        <f>Tabela1[[#This Row],[orzech]]*M$2</f>
        <v>3150</v>
      </c>
      <c r="H81" s="2">
        <f>Tabela1[[#This Row],[miał]]*N$2</f>
        <v>15960</v>
      </c>
      <c r="I81" s="2" t="str">
        <f>TEXT(Tabela1[[#This Row],[data]],"mmmm")</f>
        <v>styczeń</v>
      </c>
    </row>
    <row r="82" spans="1:10">
      <c r="A82" s="1">
        <v>42007</v>
      </c>
      <c r="B82">
        <v>80</v>
      </c>
      <c r="C82">
        <v>170</v>
      </c>
      <c r="D82">
        <v>96</v>
      </c>
      <c r="E82" s="2">
        <f>SUM(Tabela1[[#This Row],[kostka]:[miał]])</f>
        <v>346</v>
      </c>
      <c r="F82" s="2">
        <f>Tabela1[[#This Row],[kostka]]*L$2</f>
        <v>54800</v>
      </c>
      <c r="G82" s="2">
        <f>Tabela1[[#This Row],[orzech]]*M$2</f>
        <v>107100</v>
      </c>
      <c r="H82" s="2">
        <f>Tabela1[[#This Row],[miał]]*N$2</f>
        <v>36480</v>
      </c>
      <c r="I82" s="2" t="str">
        <f>TEXT(Tabela1[[#This Row],[data]],"mmmm")</f>
        <v>styczeń</v>
      </c>
      <c r="J82" s="2" t="s">
        <v>1</v>
      </c>
    </row>
    <row r="83" spans="1:10">
      <c r="A83" s="1">
        <v>42008</v>
      </c>
      <c r="B83">
        <v>80</v>
      </c>
      <c r="C83">
        <v>10</v>
      </c>
      <c r="D83">
        <v>30</v>
      </c>
      <c r="E83" s="2">
        <f>SUM(Tabela1[[#This Row],[kostka]:[miał]])</f>
        <v>120</v>
      </c>
      <c r="F83" s="2">
        <f>Tabela1[[#This Row],[kostka]]*L$2</f>
        <v>54800</v>
      </c>
      <c r="G83" s="2">
        <f>Tabela1[[#This Row],[orzech]]*M$2</f>
        <v>6300</v>
      </c>
      <c r="H83" s="2">
        <f>Tabela1[[#This Row],[miał]]*N$2</f>
        <v>11400</v>
      </c>
      <c r="I83" s="2" t="str">
        <f>TEXT(Tabela1[[#This Row],[data]],"mmmm")</f>
        <v>styczeń</v>
      </c>
      <c r="J83" s="2" t="s">
        <v>2</v>
      </c>
    </row>
    <row r="84" spans="1:10">
      <c r="A84" s="1">
        <v>42009</v>
      </c>
      <c r="B84">
        <v>90</v>
      </c>
      <c r="C84">
        <v>80</v>
      </c>
      <c r="D84">
        <v>31</v>
      </c>
      <c r="E84" s="2">
        <f>SUM(Tabela1[[#This Row],[kostka]:[miał]])</f>
        <v>201</v>
      </c>
      <c r="F84" s="2">
        <f>Tabela1[[#This Row],[kostka]]*L$2</f>
        <v>61650</v>
      </c>
      <c r="G84" s="2">
        <f>Tabela1[[#This Row],[orzech]]*M$2</f>
        <v>50400</v>
      </c>
      <c r="H84" s="2">
        <f>Tabela1[[#This Row],[miał]]*N$2</f>
        <v>11780</v>
      </c>
      <c r="I84" s="2" t="str">
        <f>TEXT(Tabela1[[#This Row],[data]],"mmmm")</f>
        <v>styczeń</v>
      </c>
      <c r="J84" s="2" t="s">
        <v>1</v>
      </c>
    </row>
    <row r="85" spans="1:10">
      <c r="A85" s="1">
        <v>42010</v>
      </c>
      <c r="B85">
        <v>130</v>
      </c>
      <c r="C85">
        <v>163</v>
      </c>
      <c r="D85">
        <v>92</v>
      </c>
      <c r="E85" s="2">
        <f>SUM(Tabela1[[#This Row],[kostka]:[miał]])</f>
        <v>385</v>
      </c>
      <c r="F85" s="2">
        <f>Tabela1[[#This Row],[kostka]]*L$2</f>
        <v>89050</v>
      </c>
      <c r="G85" s="2">
        <f>Tabela1[[#This Row],[orzech]]*M$2</f>
        <v>102690</v>
      </c>
      <c r="H85" s="2">
        <f>Tabela1[[#This Row],[miał]]*N$2</f>
        <v>34960</v>
      </c>
      <c r="I85" s="2" t="str">
        <f>TEXT(Tabela1[[#This Row],[data]],"mmmm")</f>
        <v>styczeń</v>
      </c>
      <c r="J85" s="2" t="s">
        <v>2</v>
      </c>
    </row>
    <row r="86" spans="1:10">
      <c r="A86" s="1">
        <v>42011</v>
      </c>
      <c r="B86">
        <v>54</v>
      </c>
      <c r="C86">
        <v>7</v>
      </c>
      <c r="D86">
        <v>79</v>
      </c>
      <c r="E86" s="2">
        <f>SUM(Tabela1[[#This Row],[kostka]:[miał]])</f>
        <v>140</v>
      </c>
      <c r="F86" s="2">
        <f>Tabela1[[#This Row],[kostka]]*L$2</f>
        <v>36990</v>
      </c>
      <c r="G86" s="2">
        <f>Tabela1[[#This Row],[orzech]]*M$2</f>
        <v>4410</v>
      </c>
      <c r="H86" s="2">
        <f>Tabela1[[#This Row],[miał]]*N$2</f>
        <v>30020</v>
      </c>
      <c r="I86" s="2" t="str">
        <f>TEXT(Tabela1[[#This Row],[data]],"mmmm")</f>
        <v>styczeń</v>
      </c>
      <c r="J86" s="2" t="s">
        <v>1</v>
      </c>
    </row>
    <row r="87" spans="1:10">
      <c r="A87" s="1">
        <v>42012</v>
      </c>
      <c r="B87">
        <v>88</v>
      </c>
      <c r="C87">
        <v>125</v>
      </c>
      <c r="D87">
        <v>97</v>
      </c>
      <c r="E87" s="2">
        <f>SUM(Tabela1[[#This Row],[kostka]:[miał]])</f>
        <v>310</v>
      </c>
      <c r="F87" s="2">
        <f>Tabela1[[#This Row],[kostka]]*L$2</f>
        <v>60280</v>
      </c>
      <c r="G87" s="2">
        <f>Tabela1[[#This Row],[orzech]]*M$2</f>
        <v>78750</v>
      </c>
      <c r="H87" s="2">
        <f>Tabela1[[#This Row],[miał]]*N$2</f>
        <v>36860</v>
      </c>
      <c r="I87" s="2" t="str">
        <f>TEXT(Tabela1[[#This Row],[data]],"mmmm")</f>
        <v>styczeń</v>
      </c>
      <c r="J87" s="2" t="s">
        <v>3</v>
      </c>
    </row>
    <row r="88" spans="1:10">
      <c r="A88" s="1">
        <v>42013</v>
      </c>
      <c r="B88">
        <v>83</v>
      </c>
      <c r="C88">
        <v>85</v>
      </c>
      <c r="D88">
        <v>99</v>
      </c>
      <c r="E88" s="2">
        <f>SUM(Tabela1[[#This Row],[kostka]:[miał]])</f>
        <v>267</v>
      </c>
      <c r="F88" s="2">
        <f>Tabela1[[#This Row],[kostka]]*L$2</f>
        <v>56855</v>
      </c>
      <c r="G88" s="2">
        <f>Tabela1[[#This Row],[orzech]]*M$2</f>
        <v>53550</v>
      </c>
      <c r="H88" s="2">
        <f>Tabela1[[#This Row],[miał]]*N$2</f>
        <v>37620</v>
      </c>
      <c r="I88" s="2" t="str">
        <f>TEXT(Tabela1[[#This Row],[data]],"mmmm")</f>
        <v>styczeń</v>
      </c>
      <c r="J88" s="2" t="s">
        <v>2</v>
      </c>
    </row>
    <row r="89" spans="1:10">
      <c r="A89" s="1">
        <v>42014</v>
      </c>
      <c r="B89">
        <v>139</v>
      </c>
      <c r="C89">
        <v>155</v>
      </c>
      <c r="D89">
        <v>11</v>
      </c>
      <c r="E89" s="2">
        <f>SUM(Tabela1[[#This Row],[kostka]:[miał]])</f>
        <v>305</v>
      </c>
      <c r="F89" s="2">
        <f>Tabela1[[#This Row],[kostka]]*L$2</f>
        <v>95215</v>
      </c>
      <c r="G89" s="2">
        <f>Tabela1[[#This Row],[orzech]]*M$2</f>
        <v>97650</v>
      </c>
      <c r="H89" s="2">
        <f>Tabela1[[#This Row],[miał]]*N$2</f>
        <v>4180</v>
      </c>
      <c r="I89" s="2" t="str">
        <f>TEXT(Tabela1[[#This Row],[data]],"mmmm")</f>
        <v>styczeń</v>
      </c>
      <c r="J89" s="2" t="s">
        <v>1</v>
      </c>
    </row>
    <row r="90" spans="1:10">
      <c r="A90" s="1">
        <v>42015</v>
      </c>
      <c r="B90">
        <v>82</v>
      </c>
      <c r="C90">
        <v>43</v>
      </c>
      <c r="D90">
        <v>93</v>
      </c>
      <c r="E90" s="2">
        <f>SUM(Tabela1[[#This Row],[kostka]:[miał]])</f>
        <v>218</v>
      </c>
      <c r="F90" s="2">
        <f>Tabela1[[#This Row],[kostka]]*L$2</f>
        <v>56170</v>
      </c>
      <c r="G90" s="2">
        <f>Tabela1[[#This Row],[orzech]]*M$2</f>
        <v>27090</v>
      </c>
      <c r="H90" s="2">
        <f>Tabela1[[#This Row],[miał]]*N$2</f>
        <v>35340</v>
      </c>
      <c r="I90" s="2" t="str">
        <f>TEXT(Tabela1[[#This Row],[data]],"mmmm")</f>
        <v>styczeń</v>
      </c>
      <c r="J90" s="2" t="s">
        <v>1</v>
      </c>
    </row>
    <row r="91" spans="1:10">
      <c r="A91" s="1">
        <v>42016</v>
      </c>
      <c r="B91">
        <v>23</v>
      </c>
      <c r="C91">
        <v>40</v>
      </c>
      <c r="D91">
        <v>83</v>
      </c>
      <c r="E91" s="2">
        <f>SUM(Tabela1[[#This Row],[kostka]:[miał]])</f>
        <v>146</v>
      </c>
      <c r="F91" s="2">
        <f>Tabela1[[#This Row],[kostka]]*L$2</f>
        <v>15755</v>
      </c>
      <c r="G91" s="2">
        <f>Tabela1[[#This Row],[orzech]]*M$2</f>
        <v>25200</v>
      </c>
      <c r="H91" s="2">
        <f>Tabela1[[#This Row],[miał]]*N$2</f>
        <v>31540</v>
      </c>
      <c r="I91" s="2" t="str">
        <f>TEXT(Tabela1[[#This Row],[data]],"mmmm")</f>
        <v>styczeń</v>
      </c>
      <c r="J91" s="2" t="s">
        <v>2</v>
      </c>
    </row>
    <row r="92" spans="1:10">
      <c r="A92" s="1">
        <v>42017</v>
      </c>
      <c r="B92">
        <v>118</v>
      </c>
      <c r="C92">
        <v>165</v>
      </c>
      <c r="D92">
        <v>56</v>
      </c>
      <c r="E92" s="2">
        <f>SUM(Tabela1[[#This Row],[kostka]:[miał]])</f>
        <v>339</v>
      </c>
      <c r="F92" s="2">
        <f>Tabela1[[#This Row],[kostka]]*L$2</f>
        <v>80830</v>
      </c>
      <c r="G92" s="2">
        <f>Tabela1[[#This Row],[orzech]]*M$2</f>
        <v>103950</v>
      </c>
      <c r="H92" s="2">
        <f>Tabela1[[#This Row],[miał]]*N$2</f>
        <v>21280</v>
      </c>
      <c r="I92" s="2" t="str">
        <f>TEXT(Tabela1[[#This Row],[data]],"mmmm")</f>
        <v>styczeń</v>
      </c>
      <c r="J92" s="2" t="s">
        <v>3</v>
      </c>
    </row>
    <row r="93" spans="1:10">
      <c r="A93" s="1">
        <v>42018</v>
      </c>
      <c r="B93">
        <v>59</v>
      </c>
      <c r="C93">
        <v>35</v>
      </c>
      <c r="D93">
        <v>17</v>
      </c>
      <c r="E93" s="2">
        <f>SUM(Tabela1[[#This Row],[kostka]:[miał]])</f>
        <v>111</v>
      </c>
      <c r="F93" s="2">
        <f>Tabela1[[#This Row],[kostka]]*L$2</f>
        <v>40415</v>
      </c>
      <c r="G93" s="2">
        <f>Tabela1[[#This Row],[orzech]]*M$2</f>
        <v>22050</v>
      </c>
      <c r="H93" s="2">
        <f>Tabela1[[#This Row],[miał]]*N$2</f>
        <v>6460</v>
      </c>
      <c r="I93" s="2" t="str">
        <f>TEXT(Tabela1[[#This Row],[data]],"mmmm")</f>
        <v>styczeń</v>
      </c>
      <c r="J93" s="2" t="s">
        <v>1</v>
      </c>
    </row>
    <row r="94" spans="1:10">
      <c r="A94" s="1">
        <v>42019</v>
      </c>
      <c r="B94">
        <v>127</v>
      </c>
      <c r="C94">
        <v>58</v>
      </c>
      <c r="D94">
        <v>39</v>
      </c>
      <c r="E94" s="2">
        <f>SUM(Tabela1[[#This Row],[kostka]:[miał]])</f>
        <v>224</v>
      </c>
      <c r="F94" s="2">
        <f>Tabela1[[#This Row],[kostka]]*L$2</f>
        <v>86995</v>
      </c>
      <c r="G94" s="2">
        <f>Tabela1[[#This Row],[orzech]]*M$2</f>
        <v>36540</v>
      </c>
      <c r="H94" s="2">
        <f>Tabela1[[#This Row],[miał]]*N$2</f>
        <v>14820</v>
      </c>
      <c r="I94" s="2" t="str">
        <f>TEXT(Tabela1[[#This Row],[data]],"mmmm")</f>
        <v>styczeń</v>
      </c>
      <c r="J94" s="2" t="s">
        <v>2</v>
      </c>
    </row>
    <row r="95" spans="1:10">
      <c r="A95" s="1">
        <v>42020</v>
      </c>
      <c r="B95">
        <v>121</v>
      </c>
      <c r="C95">
        <v>175</v>
      </c>
      <c r="D95">
        <v>77</v>
      </c>
      <c r="E95" s="2">
        <f>SUM(Tabela1[[#This Row],[kostka]:[miał]])</f>
        <v>373</v>
      </c>
      <c r="F95" s="2">
        <f>Tabela1[[#This Row],[kostka]]*L$2</f>
        <v>82885</v>
      </c>
      <c r="G95" s="2">
        <f>Tabela1[[#This Row],[orzech]]*M$2</f>
        <v>110250</v>
      </c>
      <c r="H95" s="2">
        <f>Tabela1[[#This Row],[miał]]*N$2</f>
        <v>29260</v>
      </c>
      <c r="I95" s="2" t="str">
        <f>TEXT(Tabela1[[#This Row],[data]],"mmmm")</f>
        <v>styczeń</v>
      </c>
      <c r="J95" s="2" t="s">
        <v>1</v>
      </c>
    </row>
    <row r="96" spans="1:10">
      <c r="A96" s="1">
        <v>42021</v>
      </c>
      <c r="B96">
        <v>80</v>
      </c>
      <c r="C96">
        <v>101</v>
      </c>
      <c r="D96">
        <v>3</v>
      </c>
      <c r="E96" s="2">
        <f>SUM(Tabela1[[#This Row],[kostka]:[miał]])</f>
        <v>184</v>
      </c>
      <c r="F96" s="2">
        <f>Tabela1[[#This Row],[kostka]]*L$2</f>
        <v>54800</v>
      </c>
      <c r="G96" s="2">
        <f>Tabela1[[#This Row],[orzech]]*M$2</f>
        <v>63630</v>
      </c>
      <c r="H96" s="2">
        <f>Tabela1[[#This Row],[miał]]*N$2</f>
        <v>1140</v>
      </c>
      <c r="I96" s="2" t="str">
        <f>TEXT(Tabela1[[#This Row],[data]],"mmmm")</f>
        <v>styczeń</v>
      </c>
      <c r="J96" s="2" t="s">
        <v>2</v>
      </c>
    </row>
    <row r="97" spans="1:10">
      <c r="A97" s="1">
        <v>42022</v>
      </c>
      <c r="B97">
        <v>189</v>
      </c>
      <c r="C97">
        <v>161</v>
      </c>
      <c r="D97">
        <v>53</v>
      </c>
      <c r="E97" s="2">
        <f>SUM(Tabela1[[#This Row],[kostka]:[miał]])</f>
        <v>403</v>
      </c>
      <c r="F97" s="2">
        <f>Tabela1[[#This Row],[kostka]]*L$2</f>
        <v>129465</v>
      </c>
      <c r="G97" s="2">
        <f>Tabela1[[#This Row],[orzech]]*M$2</f>
        <v>101430</v>
      </c>
      <c r="H97" s="2">
        <f>Tabela1[[#This Row],[miał]]*N$2</f>
        <v>20140</v>
      </c>
      <c r="I97" s="2" t="str">
        <f>TEXT(Tabela1[[#This Row],[data]],"mmmm")</f>
        <v>styczeń</v>
      </c>
      <c r="J97" s="2" t="s">
        <v>1</v>
      </c>
    </row>
    <row r="98" spans="1:10">
      <c r="A98" s="1">
        <v>42023</v>
      </c>
      <c r="B98">
        <v>18</v>
      </c>
      <c r="C98">
        <v>61</v>
      </c>
      <c r="D98">
        <v>19</v>
      </c>
      <c r="E98" s="2">
        <f>SUM(Tabela1[[#This Row],[kostka]:[miał]])</f>
        <v>98</v>
      </c>
      <c r="F98" s="2">
        <f>Tabela1[[#This Row],[kostka]]*L$2</f>
        <v>12330</v>
      </c>
      <c r="G98" s="2">
        <f>Tabela1[[#This Row],[orzech]]*M$2</f>
        <v>38430</v>
      </c>
      <c r="H98" s="2">
        <f>Tabela1[[#This Row],[miał]]*N$2</f>
        <v>7220</v>
      </c>
      <c r="I98" s="2" t="str">
        <f>TEXT(Tabela1[[#This Row],[data]],"mmmm")</f>
        <v>styczeń</v>
      </c>
      <c r="J98" s="2" t="s">
        <v>2</v>
      </c>
    </row>
    <row r="99" spans="1:10">
      <c r="A99" s="1">
        <v>42024</v>
      </c>
      <c r="B99">
        <v>68</v>
      </c>
      <c r="C99">
        <v>127</v>
      </c>
      <c r="D99">
        <v>3</v>
      </c>
      <c r="E99" s="2">
        <f>SUM(Tabela1[[#This Row],[kostka]:[miał]])</f>
        <v>198</v>
      </c>
      <c r="F99" s="2">
        <f>Tabela1[[#This Row],[kostka]]*L$2</f>
        <v>46580</v>
      </c>
      <c r="G99" s="2">
        <f>Tabela1[[#This Row],[orzech]]*M$2</f>
        <v>80010</v>
      </c>
      <c r="H99" s="2">
        <f>Tabela1[[#This Row],[miał]]*N$2</f>
        <v>1140</v>
      </c>
      <c r="I99" s="2" t="str">
        <f>TEXT(Tabela1[[#This Row],[data]],"mmmm")</f>
        <v>styczeń</v>
      </c>
      <c r="J99" s="2" t="s">
        <v>1</v>
      </c>
    </row>
    <row r="100" spans="1:10">
      <c r="A100" s="1">
        <v>42025</v>
      </c>
      <c r="B100">
        <v>37</v>
      </c>
      <c r="C100">
        <v>112</v>
      </c>
      <c r="D100">
        <v>68</v>
      </c>
      <c r="E100" s="2">
        <f>SUM(Tabela1[[#This Row],[kostka]:[miał]])</f>
        <v>217</v>
      </c>
      <c r="F100" s="2">
        <f>Tabela1[[#This Row],[kostka]]*L$2</f>
        <v>25345</v>
      </c>
      <c r="G100" s="2">
        <f>Tabela1[[#This Row],[orzech]]*M$2</f>
        <v>70560</v>
      </c>
      <c r="H100" s="2">
        <f>Tabela1[[#This Row],[miał]]*N$2</f>
        <v>25840</v>
      </c>
      <c r="I100" s="2" t="str">
        <f>TEXT(Tabela1[[#This Row],[data]],"mmmm")</f>
        <v>styczeń</v>
      </c>
      <c r="J100" s="2" t="s">
        <v>2</v>
      </c>
    </row>
    <row r="101" spans="1:10">
      <c r="A101" s="1">
        <v>42026</v>
      </c>
      <c r="B101">
        <v>40</v>
      </c>
      <c r="C101">
        <v>140</v>
      </c>
      <c r="D101">
        <v>15</v>
      </c>
      <c r="E101" s="2">
        <f>SUM(Tabela1[[#This Row],[kostka]:[miał]])</f>
        <v>195</v>
      </c>
      <c r="F101" s="2">
        <f>Tabela1[[#This Row],[kostka]]*L$2</f>
        <v>27400</v>
      </c>
      <c r="G101" s="2">
        <f>Tabela1[[#This Row],[orzech]]*M$2</f>
        <v>88200</v>
      </c>
      <c r="H101" s="2">
        <f>Tabela1[[#This Row],[miał]]*N$2</f>
        <v>5700</v>
      </c>
      <c r="I101" s="2" t="str">
        <f>TEXT(Tabela1[[#This Row],[data]],"mmmm")</f>
        <v>styczeń</v>
      </c>
      <c r="J101" s="2" t="s">
        <v>3</v>
      </c>
    </row>
    <row r="102" spans="1:10">
      <c r="A102" s="1">
        <v>42027</v>
      </c>
      <c r="B102">
        <v>189</v>
      </c>
      <c r="C102">
        <v>87</v>
      </c>
      <c r="D102">
        <v>64</v>
      </c>
      <c r="E102" s="2">
        <f>SUM(Tabela1[[#This Row],[kostka]:[miał]])</f>
        <v>340</v>
      </c>
      <c r="F102" s="2">
        <f>Tabela1[[#This Row],[kostka]]*L$2</f>
        <v>129465</v>
      </c>
      <c r="G102" s="2">
        <f>Tabela1[[#This Row],[orzech]]*M$2</f>
        <v>54810</v>
      </c>
      <c r="H102" s="2">
        <f>Tabela1[[#This Row],[miał]]*N$2</f>
        <v>24320</v>
      </c>
      <c r="I102" s="2" t="str">
        <f>TEXT(Tabela1[[#This Row],[data]],"mmmm")</f>
        <v>styczeń</v>
      </c>
      <c r="J102" s="2" t="s">
        <v>1</v>
      </c>
    </row>
    <row r="103" spans="1:10">
      <c r="A103" s="1">
        <v>42028</v>
      </c>
      <c r="B103">
        <v>145</v>
      </c>
      <c r="C103">
        <v>18</v>
      </c>
      <c r="D103">
        <v>1</v>
      </c>
      <c r="E103" s="2">
        <f>SUM(Tabela1[[#This Row],[kostka]:[miał]])</f>
        <v>164</v>
      </c>
      <c r="F103" s="2">
        <f>Tabela1[[#This Row],[kostka]]*L$2</f>
        <v>99325</v>
      </c>
      <c r="G103" s="2">
        <f>Tabela1[[#This Row],[orzech]]*M$2</f>
        <v>11340</v>
      </c>
      <c r="H103" s="2">
        <f>Tabela1[[#This Row],[miał]]*N$2</f>
        <v>380</v>
      </c>
      <c r="I103" s="2" t="str">
        <f>TEXT(Tabela1[[#This Row],[data]],"mmmm")</f>
        <v>styczeń</v>
      </c>
      <c r="J103" s="2" t="s">
        <v>1</v>
      </c>
    </row>
    <row r="104" spans="1:10">
      <c r="A104" s="1">
        <v>42029</v>
      </c>
      <c r="B104">
        <v>148</v>
      </c>
      <c r="C104">
        <v>27</v>
      </c>
      <c r="D104">
        <v>13</v>
      </c>
      <c r="E104" s="2">
        <f>SUM(Tabela1[[#This Row],[kostka]:[miał]])</f>
        <v>188</v>
      </c>
      <c r="F104" s="2">
        <f>Tabela1[[#This Row],[kostka]]*L$2</f>
        <v>101380</v>
      </c>
      <c r="G104" s="2">
        <f>Tabela1[[#This Row],[orzech]]*M$2</f>
        <v>17010</v>
      </c>
      <c r="H104" s="2">
        <f>Tabela1[[#This Row],[miał]]*N$2</f>
        <v>4940</v>
      </c>
      <c r="I104" s="2" t="str">
        <f>TEXT(Tabela1[[#This Row],[data]],"mmmm")</f>
        <v>styczeń</v>
      </c>
      <c r="J104" s="2" t="s">
        <v>2</v>
      </c>
    </row>
    <row r="105" spans="1:10">
      <c r="A105" s="1">
        <v>42030</v>
      </c>
      <c r="B105">
        <v>127</v>
      </c>
      <c r="C105">
        <v>161</v>
      </c>
      <c r="D105">
        <v>31</v>
      </c>
      <c r="E105" s="2">
        <f>SUM(Tabela1[[#This Row],[kostka]:[miał]])</f>
        <v>319</v>
      </c>
      <c r="F105" s="2">
        <f>Tabela1[[#This Row],[kostka]]*L$2</f>
        <v>86995</v>
      </c>
      <c r="G105" s="2">
        <f>Tabela1[[#This Row],[orzech]]*M$2</f>
        <v>101430</v>
      </c>
      <c r="H105" s="2">
        <f>Tabela1[[#This Row],[miał]]*N$2</f>
        <v>11780</v>
      </c>
      <c r="I105" s="2" t="str">
        <f>TEXT(Tabela1[[#This Row],[data]],"mmmm")</f>
        <v>styczeń</v>
      </c>
      <c r="J105" s="2" t="s">
        <v>1</v>
      </c>
    </row>
    <row r="106" spans="1:10">
      <c r="A106" s="1">
        <v>42031</v>
      </c>
      <c r="B106">
        <v>131</v>
      </c>
      <c r="C106">
        <v>1</v>
      </c>
      <c r="D106">
        <v>98</v>
      </c>
      <c r="E106" s="2">
        <f>SUM(Tabela1[[#This Row],[kostka]:[miał]])</f>
        <v>230</v>
      </c>
      <c r="F106" s="2">
        <f>Tabela1[[#This Row],[kostka]]*L$2</f>
        <v>89735</v>
      </c>
      <c r="G106" s="2">
        <f>Tabela1[[#This Row],[orzech]]*M$2</f>
        <v>630</v>
      </c>
      <c r="H106" s="2">
        <f>Tabela1[[#This Row],[miał]]*N$2</f>
        <v>37240</v>
      </c>
      <c r="I106" s="2" t="str">
        <f>TEXT(Tabela1[[#This Row],[data]],"mmmm")</f>
        <v>styczeń</v>
      </c>
      <c r="J106" s="2" t="s">
        <v>1</v>
      </c>
    </row>
    <row r="107" spans="1:10">
      <c r="A107" s="1">
        <v>42032</v>
      </c>
      <c r="B107">
        <v>142</v>
      </c>
      <c r="C107">
        <v>131</v>
      </c>
      <c r="D107">
        <v>62</v>
      </c>
      <c r="E107" s="2">
        <f>SUM(Tabela1[[#This Row],[kostka]:[miał]])</f>
        <v>335</v>
      </c>
      <c r="F107" s="2">
        <f>Tabela1[[#This Row],[kostka]]*L$2</f>
        <v>97270</v>
      </c>
      <c r="G107" s="2">
        <f>Tabela1[[#This Row],[orzech]]*M$2</f>
        <v>82530</v>
      </c>
      <c r="H107" s="2">
        <f>Tabela1[[#This Row],[miał]]*N$2</f>
        <v>23560</v>
      </c>
      <c r="I107" s="2" t="str">
        <f>TEXT(Tabela1[[#This Row],[data]],"mmmm")</f>
        <v>styczeń</v>
      </c>
      <c r="J107" s="2" t="s">
        <v>2</v>
      </c>
    </row>
    <row r="108" spans="1:10">
      <c r="A108" s="1">
        <v>42033</v>
      </c>
      <c r="B108">
        <v>121</v>
      </c>
      <c r="C108">
        <v>150</v>
      </c>
      <c r="D108">
        <v>25</v>
      </c>
      <c r="E108" s="2">
        <f>SUM(Tabela1[[#This Row],[kostka]:[miał]])</f>
        <v>296</v>
      </c>
      <c r="F108" s="2">
        <f>Tabela1[[#This Row],[kostka]]*L$2</f>
        <v>82885</v>
      </c>
      <c r="G108" s="2">
        <f>Tabela1[[#This Row],[orzech]]*M$2</f>
        <v>94500</v>
      </c>
      <c r="H108" s="2">
        <f>Tabela1[[#This Row],[miał]]*N$2</f>
        <v>9500</v>
      </c>
      <c r="I108" s="2" t="str">
        <f>TEXT(Tabela1[[#This Row],[data]],"mmmm")</f>
        <v>styczeń</v>
      </c>
      <c r="J108" s="2" t="s">
        <v>1</v>
      </c>
    </row>
    <row r="109" spans="1:10">
      <c r="A109" s="1">
        <v>42034</v>
      </c>
      <c r="B109">
        <v>33</v>
      </c>
      <c r="C109">
        <v>113</v>
      </c>
      <c r="D109">
        <v>62</v>
      </c>
      <c r="E109" s="2">
        <f>SUM(Tabela1[[#This Row],[kostka]:[miał]])</f>
        <v>208</v>
      </c>
      <c r="F109" s="2">
        <f>Tabela1[[#This Row],[kostka]]*L$2</f>
        <v>22605</v>
      </c>
      <c r="G109" s="2">
        <f>Tabela1[[#This Row],[orzech]]*M$2</f>
        <v>71190</v>
      </c>
      <c r="H109" s="2">
        <f>Tabela1[[#This Row],[miał]]*N$2</f>
        <v>23560</v>
      </c>
      <c r="I109" s="2" t="str">
        <f>TEXT(Tabela1[[#This Row],[data]],"mmmm")</f>
        <v>styczeń</v>
      </c>
      <c r="J109" s="2" t="s">
        <v>2</v>
      </c>
    </row>
    <row r="110" spans="1:10">
      <c r="A110" s="1">
        <v>42035</v>
      </c>
      <c r="B110">
        <v>142</v>
      </c>
      <c r="C110">
        <v>44</v>
      </c>
      <c r="D110">
        <v>92</v>
      </c>
      <c r="E110" s="2">
        <f>SUM(Tabela1[[#This Row],[kostka]:[miał]])</f>
        <v>278</v>
      </c>
      <c r="F110" s="2">
        <f>Tabela1[[#This Row],[kostka]]*L$2</f>
        <v>97270</v>
      </c>
      <c r="G110" s="2">
        <f>Tabela1[[#This Row],[orzech]]*M$2</f>
        <v>27720</v>
      </c>
      <c r="H110" s="2">
        <f>Tabela1[[#This Row],[miał]]*N$2</f>
        <v>34960</v>
      </c>
      <c r="I110" s="2" t="str">
        <f>TEXT(Tabela1[[#This Row],[data]],"mmmm")</f>
        <v>styczeń</v>
      </c>
      <c r="J110" s="2" t="s">
        <v>1</v>
      </c>
    </row>
    <row r="111" spans="1:10">
      <c r="A111" s="1">
        <v>42036</v>
      </c>
      <c r="B111">
        <v>119</v>
      </c>
      <c r="C111">
        <v>167</v>
      </c>
      <c r="D111">
        <v>64</v>
      </c>
      <c r="E111" s="2">
        <f>SUM(Tabela1[[#This Row],[kostka]:[miał]])</f>
        <v>350</v>
      </c>
      <c r="F111" s="2">
        <f>Tabela1[[#This Row],[kostka]]*L$2</f>
        <v>81515</v>
      </c>
      <c r="G111" s="2">
        <f>Tabela1[[#This Row],[orzech]]*M$2</f>
        <v>105210</v>
      </c>
      <c r="H111" s="2">
        <f>Tabela1[[#This Row],[miał]]*N$2</f>
        <v>24320</v>
      </c>
      <c r="I111" s="2" t="str">
        <f>TEXT(Tabela1[[#This Row],[data]],"mmmm")</f>
        <v>luty</v>
      </c>
      <c r="J111" s="2" t="s">
        <v>2</v>
      </c>
    </row>
    <row r="112" spans="1:10">
      <c r="A112" s="1">
        <v>42037</v>
      </c>
      <c r="B112">
        <v>54</v>
      </c>
      <c r="C112">
        <v>109</v>
      </c>
      <c r="D112">
        <v>65</v>
      </c>
      <c r="E112" s="2">
        <f>SUM(Tabela1[[#This Row],[kostka]:[miał]])</f>
        <v>228</v>
      </c>
      <c r="F112" s="2">
        <f>Tabela1[[#This Row],[kostka]]*L$2</f>
        <v>36990</v>
      </c>
      <c r="G112" s="2">
        <f>Tabela1[[#This Row],[orzech]]*M$2</f>
        <v>68670</v>
      </c>
      <c r="H112" s="2">
        <f>Tabela1[[#This Row],[miał]]*N$2</f>
        <v>24700</v>
      </c>
      <c r="I112" s="2" t="str">
        <f>TEXT(Tabela1[[#This Row],[data]],"mmmm")</f>
        <v>luty</v>
      </c>
      <c r="J112" s="2" t="s">
        <v>1</v>
      </c>
    </row>
    <row r="113" spans="1:10">
      <c r="A113" s="1">
        <v>42038</v>
      </c>
      <c r="B113">
        <v>53</v>
      </c>
      <c r="C113">
        <v>94</v>
      </c>
      <c r="D113">
        <v>43</v>
      </c>
      <c r="E113" s="2">
        <f>SUM(Tabela1[[#This Row],[kostka]:[miał]])</f>
        <v>190</v>
      </c>
      <c r="F113" s="2">
        <f>Tabela1[[#This Row],[kostka]]*L$2</f>
        <v>36305</v>
      </c>
      <c r="G113" s="2">
        <f>Tabela1[[#This Row],[orzech]]*M$2</f>
        <v>59220</v>
      </c>
      <c r="H113" s="2">
        <f>Tabela1[[#This Row],[miał]]*N$2</f>
        <v>16340</v>
      </c>
      <c r="I113" s="2" t="str">
        <f>TEXT(Tabela1[[#This Row],[data]],"mmmm")</f>
        <v>luty</v>
      </c>
      <c r="J113" s="2" t="s">
        <v>3</v>
      </c>
    </row>
    <row r="114" spans="1:10">
      <c r="A114" s="1">
        <v>42039</v>
      </c>
      <c r="B114">
        <v>165</v>
      </c>
      <c r="C114">
        <v>101</v>
      </c>
      <c r="D114">
        <v>8</v>
      </c>
      <c r="E114" s="2">
        <f>SUM(Tabela1[[#This Row],[kostka]:[miał]])</f>
        <v>274</v>
      </c>
      <c r="F114" s="2">
        <f>Tabela1[[#This Row],[kostka]]*L$2</f>
        <v>113025</v>
      </c>
      <c r="G114" s="2">
        <f>Tabela1[[#This Row],[orzech]]*M$2</f>
        <v>63630</v>
      </c>
      <c r="H114" s="2">
        <f>Tabela1[[#This Row],[miał]]*N$2</f>
        <v>3040</v>
      </c>
      <c r="I114" s="2" t="str">
        <f>TEXT(Tabela1[[#This Row],[data]],"mmmm")</f>
        <v>luty</v>
      </c>
      <c r="J114" s="2" t="s">
        <v>1</v>
      </c>
    </row>
    <row r="115" spans="1:10">
      <c r="A115" s="1">
        <v>42040</v>
      </c>
      <c r="B115">
        <v>159</v>
      </c>
      <c r="C115">
        <v>68</v>
      </c>
      <c r="D115">
        <v>96</v>
      </c>
      <c r="E115" s="2">
        <f>SUM(Tabela1[[#This Row],[kostka]:[miał]])</f>
        <v>323</v>
      </c>
      <c r="F115" s="2">
        <f>Tabela1[[#This Row],[kostka]]*L$2</f>
        <v>108915</v>
      </c>
      <c r="G115" s="2">
        <f>Tabela1[[#This Row],[orzech]]*M$2</f>
        <v>42840</v>
      </c>
      <c r="H115" s="2">
        <f>Tabela1[[#This Row],[miał]]*N$2</f>
        <v>36480</v>
      </c>
      <c r="I115" s="2" t="str">
        <f>TEXT(Tabela1[[#This Row],[data]],"mmmm")</f>
        <v>luty</v>
      </c>
      <c r="J115" s="2" t="s">
        <v>1</v>
      </c>
    </row>
    <row r="116" spans="1:10">
      <c r="A116" s="1">
        <v>42041</v>
      </c>
      <c r="B116">
        <v>79</v>
      </c>
      <c r="C116">
        <v>119</v>
      </c>
      <c r="D116">
        <v>35</v>
      </c>
      <c r="E116" s="2">
        <f>SUM(Tabela1[[#This Row],[kostka]:[miał]])</f>
        <v>233</v>
      </c>
      <c r="F116" s="2">
        <f>Tabela1[[#This Row],[kostka]]*L$2</f>
        <v>54115</v>
      </c>
      <c r="G116" s="2">
        <f>Tabela1[[#This Row],[orzech]]*M$2</f>
        <v>74970</v>
      </c>
      <c r="H116" s="2">
        <f>Tabela1[[#This Row],[miał]]*N$2</f>
        <v>13300</v>
      </c>
      <c r="I116" s="2" t="str">
        <f>TEXT(Tabela1[[#This Row],[data]],"mmmm")</f>
        <v>luty</v>
      </c>
      <c r="J116" s="2" t="s">
        <v>2</v>
      </c>
    </row>
    <row r="117" spans="1:10">
      <c r="A117" s="1">
        <v>42042</v>
      </c>
      <c r="B117">
        <v>128</v>
      </c>
      <c r="C117">
        <v>148</v>
      </c>
      <c r="D117">
        <v>77</v>
      </c>
      <c r="E117" s="2">
        <f>SUM(Tabela1[[#This Row],[kostka]:[miał]])</f>
        <v>353</v>
      </c>
      <c r="F117" s="2">
        <f>Tabela1[[#This Row],[kostka]]*L$2</f>
        <v>87680</v>
      </c>
      <c r="G117" s="2">
        <f>Tabela1[[#This Row],[orzech]]*M$2</f>
        <v>93240</v>
      </c>
      <c r="H117" s="2">
        <f>Tabela1[[#This Row],[miał]]*N$2</f>
        <v>29260</v>
      </c>
      <c r="I117" s="2" t="str">
        <f>TEXT(Tabela1[[#This Row],[data]],"mmmm")</f>
        <v>luty</v>
      </c>
      <c r="J117" s="2" t="s">
        <v>1</v>
      </c>
    </row>
    <row r="118" spans="1:10">
      <c r="A118" s="1">
        <v>42043</v>
      </c>
      <c r="B118">
        <v>195</v>
      </c>
      <c r="C118">
        <v>39</v>
      </c>
      <c r="D118">
        <v>77</v>
      </c>
      <c r="E118" s="2">
        <f>SUM(Tabela1[[#This Row],[kostka]:[miał]])</f>
        <v>311</v>
      </c>
      <c r="F118" s="2">
        <f>Tabela1[[#This Row],[kostka]]*L$2</f>
        <v>133575</v>
      </c>
      <c r="G118" s="2">
        <f>Tabela1[[#This Row],[orzech]]*M$2</f>
        <v>24570</v>
      </c>
      <c r="H118" s="2">
        <f>Tabela1[[#This Row],[miał]]*N$2</f>
        <v>29260</v>
      </c>
      <c r="I118" s="2" t="str">
        <f>TEXT(Tabela1[[#This Row],[data]],"mmmm")</f>
        <v>luty</v>
      </c>
      <c r="J118" s="2" t="s">
        <v>1</v>
      </c>
    </row>
    <row r="119" spans="1:10">
      <c r="A119" s="1">
        <v>42044</v>
      </c>
      <c r="B119">
        <v>87</v>
      </c>
      <c r="C119">
        <v>8</v>
      </c>
      <c r="D119">
        <v>17</v>
      </c>
      <c r="E119" s="2">
        <f>SUM(Tabela1[[#This Row],[kostka]:[miał]])</f>
        <v>112</v>
      </c>
      <c r="F119" s="2">
        <f>Tabela1[[#This Row],[kostka]]*L$2</f>
        <v>59595</v>
      </c>
      <c r="G119" s="2">
        <f>Tabela1[[#This Row],[orzech]]*M$2</f>
        <v>5040</v>
      </c>
      <c r="H119" s="2">
        <f>Tabela1[[#This Row],[miał]]*N$2</f>
        <v>6460</v>
      </c>
      <c r="I119" s="2" t="str">
        <f>TEXT(Tabela1[[#This Row],[data]],"mmmm")</f>
        <v>luty</v>
      </c>
      <c r="J119" s="2" t="s">
        <v>2</v>
      </c>
    </row>
    <row r="120" spans="1:10">
      <c r="A120" s="1">
        <v>42045</v>
      </c>
      <c r="B120">
        <v>114</v>
      </c>
      <c r="C120">
        <v>124</v>
      </c>
      <c r="D120">
        <v>94</v>
      </c>
      <c r="E120" s="2">
        <f>SUM(Tabela1[[#This Row],[kostka]:[miał]])</f>
        <v>332</v>
      </c>
      <c r="F120" s="2">
        <f>Tabela1[[#This Row],[kostka]]*L$2</f>
        <v>78090</v>
      </c>
      <c r="G120" s="2">
        <f>Tabela1[[#This Row],[orzech]]*M$2</f>
        <v>78120</v>
      </c>
      <c r="H120" s="2">
        <f>Tabela1[[#This Row],[miał]]*N$2</f>
        <v>35720</v>
      </c>
      <c r="I120" s="2" t="str">
        <f>TEXT(Tabela1[[#This Row],[data]],"mmmm")</f>
        <v>luty</v>
      </c>
      <c r="J120" s="2" t="s">
        <v>1</v>
      </c>
    </row>
    <row r="121" spans="1:10">
      <c r="A121" s="1">
        <v>42046</v>
      </c>
      <c r="B121">
        <v>126</v>
      </c>
      <c r="C121">
        <v>122</v>
      </c>
      <c r="D121">
        <v>39</v>
      </c>
      <c r="E121" s="2">
        <f>SUM(Tabela1[[#This Row],[kostka]:[miał]])</f>
        <v>287</v>
      </c>
      <c r="F121" s="2">
        <f>Tabela1[[#This Row],[kostka]]*L$2</f>
        <v>86310</v>
      </c>
      <c r="G121" s="2">
        <f>Tabela1[[#This Row],[orzech]]*M$2</f>
        <v>76860</v>
      </c>
      <c r="H121" s="2">
        <f>Tabela1[[#This Row],[miał]]*N$2</f>
        <v>14820</v>
      </c>
      <c r="I121" s="2" t="str">
        <f>TEXT(Tabela1[[#This Row],[data]],"mmmm")</f>
        <v>luty</v>
      </c>
      <c r="J121" s="2" t="s">
        <v>2</v>
      </c>
    </row>
    <row r="122" spans="1:10">
      <c r="A122" s="1">
        <v>42047</v>
      </c>
      <c r="B122">
        <v>96</v>
      </c>
      <c r="C122">
        <v>113</v>
      </c>
      <c r="D122">
        <v>28</v>
      </c>
      <c r="E122" s="2">
        <f>SUM(Tabela1[[#This Row],[kostka]:[miał]])</f>
        <v>237</v>
      </c>
      <c r="F122" s="2">
        <f>Tabela1[[#This Row],[kostka]]*L$2</f>
        <v>65760</v>
      </c>
      <c r="G122" s="2">
        <f>Tabela1[[#This Row],[orzech]]*M$2</f>
        <v>71190</v>
      </c>
      <c r="H122" s="2">
        <f>Tabela1[[#This Row],[miał]]*N$2</f>
        <v>10640</v>
      </c>
      <c r="I122" s="2" t="str">
        <f>TEXT(Tabela1[[#This Row],[data]],"mmmm")</f>
        <v>luty</v>
      </c>
      <c r="J122" s="2" t="s">
        <v>1</v>
      </c>
    </row>
    <row r="123" spans="1:10">
      <c r="A123" s="1">
        <v>42048</v>
      </c>
      <c r="B123">
        <v>165</v>
      </c>
      <c r="C123">
        <v>4</v>
      </c>
      <c r="D123">
        <v>83</v>
      </c>
      <c r="E123" s="2">
        <f>SUM(Tabela1[[#This Row],[kostka]:[miał]])</f>
        <v>252</v>
      </c>
      <c r="F123" s="2">
        <f>Tabela1[[#This Row],[kostka]]*L$2</f>
        <v>113025</v>
      </c>
      <c r="G123" s="2">
        <f>Tabela1[[#This Row],[orzech]]*M$2</f>
        <v>2520</v>
      </c>
      <c r="H123" s="2">
        <f>Tabela1[[#This Row],[miał]]*N$2</f>
        <v>31540</v>
      </c>
      <c r="I123" s="2" t="str">
        <f>TEXT(Tabela1[[#This Row],[data]],"mmmm")</f>
        <v>luty</v>
      </c>
      <c r="J123" s="2" t="s">
        <v>1</v>
      </c>
    </row>
    <row r="124" spans="1:10">
      <c r="A124" s="1">
        <v>42049</v>
      </c>
      <c r="B124">
        <v>1</v>
      </c>
      <c r="C124">
        <v>117</v>
      </c>
      <c r="D124">
        <v>76</v>
      </c>
      <c r="E124" s="2">
        <f>SUM(Tabela1[[#This Row],[kostka]:[miał]])</f>
        <v>194</v>
      </c>
      <c r="F124" s="2">
        <f>Tabela1[[#This Row],[kostka]]*L$2</f>
        <v>685</v>
      </c>
      <c r="G124" s="2">
        <f>Tabela1[[#This Row],[orzech]]*M$2</f>
        <v>73710</v>
      </c>
      <c r="H124" s="2">
        <f>Tabela1[[#This Row],[miał]]*N$2</f>
        <v>28880</v>
      </c>
      <c r="I124" s="2" t="str">
        <f>TEXT(Tabela1[[#This Row],[data]],"mmmm")</f>
        <v>luty</v>
      </c>
      <c r="J124" s="2" t="s">
        <v>2</v>
      </c>
    </row>
    <row r="125" spans="1:10">
      <c r="A125" s="1">
        <v>42050</v>
      </c>
      <c r="B125">
        <v>107</v>
      </c>
      <c r="C125">
        <v>70</v>
      </c>
      <c r="D125">
        <v>28</v>
      </c>
      <c r="E125" s="2">
        <f>SUM(Tabela1[[#This Row],[kostka]:[miał]])</f>
        <v>205</v>
      </c>
      <c r="F125" s="2">
        <f>Tabela1[[#This Row],[kostka]]*L$2</f>
        <v>73295</v>
      </c>
      <c r="G125" s="2">
        <f>Tabela1[[#This Row],[orzech]]*M$2</f>
        <v>44100</v>
      </c>
      <c r="H125" s="2">
        <f>Tabela1[[#This Row],[miał]]*N$2</f>
        <v>10640</v>
      </c>
      <c r="I125" s="2" t="str">
        <f>TEXT(Tabela1[[#This Row],[data]],"mmmm")</f>
        <v>luty</v>
      </c>
      <c r="J125" s="2" t="s">
        <v>3</v>
      </c>
    </row>
    <row r="126" spans="1:10">
      <c r="A126" s="1">
        <v>42051</v>
      </c>
      <c r="B126">
        <v>83</v>
      </c>
      <c r="C126">
        <v>81</v>
      </c>
      <c r="D126">
        <v>1</v>
      </c>
      <c r="E126" s="2">
        <f>SUM(Tabela1[[#This Row],[kostka]:[miał]])</f>
        <v>165</v>
      </c>
      <c r="F126" s="2">
        <f>Tabela1[[#This Row],[kostka]]*L$2</f>
        <v>56855</v>
      </c>
      <c r="G126" s="2">
        <f>Tabela1[[#This Row],[orzech]]*M$2</f>
        <v>51030</v>
      </c>
      <c r="H126" s="2">
        <f>Tabela1[[#This Row],[miał]]*N$2</f>
        <v>380</v>
      </c>
      <c r="I126" s="2" t="str">
        <f>TEXT(Tabela1[[#This Row],[data]],"mmmm")</f>
        <v>luty</v>
      </c>
      <c r="J126" s="2" t="s">
        <v>2</v>
      </c>
    </row>
    <row r="127" spans="1:10">
      <c r="A127" s="1">
        <v>42052</v>
      </c>
      <c r="B127">
        <v>43</v>
      </c>
      <c r="C127">
        <v>109</v>
      </c>
      <c r="D127">
        <v>50</v>
      </c>
      <c r="E127" s="2">
        <f>SUM(Tabela1[[#This Row],[kostka]:[miał]])</f>
        <v>202</v>
      </c>
      <c r="F127" s="2">
        <f>Tabela1[[#This Row],[kostka]]*L$2</f>
        <v>29455</v>
      </c>
      <c r="G127" s="2">
        <f>Tabela1[[#This Row],[orzech]]*M$2</f>
        <v>68670</v>
      </c>
      <c r="H127" s="2">
        <f>Tabela1[[#This Row],[miał]]*N$2</f>
        <v>19000</v>
      </c>
      <c r="I127" s="2" t="str">
        <f>TEXT(Tabela1[[#This Row],[data]],"mmmm")</f>
        <v>luty</v>
      </c>
      <c r="J127" s="2" t="s">
        <v>1</v>
      </c>
    </row>
    <row r="128" spans="1:10">
      <c r="A128" s="1">
        <v>42053</v>
      </c>
      <c r="B128">
        <v>52</v>
      </c>
      <c r="C128">
        <v>110</v>
      </c>
      <c r="D128">
        <v>19</v>
      </c>
      <c r="E128" s="2">
        <f>SUM(Tabela1[[#This Row],[kostka]:[miał]])</f>
        <v>181</v>
      </c>
      <c r="F128" s="2">
        <f>Tabela1[[#This Row],[kostka]]*L$2</f>
        <v>35620</v>
      </c>
      <c r="G128" s="2">
        <f>Tabela1[[#This Row],[orzech]]*M$2</f>
        <v>69300</v>
      </c>
      <c r="H128" s="2">
        <f>Tabela1[[#This Row],[miał]]*N$2</f>
        <v>7220</v>
      </c>
      <c r="I128" s="2" t="str">
        <f>TEXT(Tabela1[[#This Row],[data]],"mmmm")</f>
        <v>luty</v>
      </c>
      <c r="J128" s="2" t="s">
        <v>3</v>
      </c>
    </row>
    <row r="129" spans="1:10">
      <c r="A129" s="1">
        <v>42054</v>
      </c>
      <c r="B129">
        <v>104</v>
      </c>
      <c r="C129">
        <v>132</v>
      </c>
      <c r="D129">
        <v>57</v>
      </c>
      <c r="E129" s="2">
        <f>SUM(Tabela1[[#This Row],[kostka]:[miał]])</f>
        <v>293</v>
      </c>
      <c r="F129" s="2">
        <f>Tabela1[[#This Row],[kostka]]*L$2</f>
        <v>71240</v>
      </c>
      <c r="G129" s="2">
        <f>Tabela1[[#This Row],[orzech]]*M$2</f>
        <v>83160</v>
      </c>
      <c r="H129" s="2">
        <f>Tabela1[[#This Row],[miał]]*N$2</f>
        <v>21660</v>
      </c>
      <c r="I129" s="2" t="str">
        <f>TEXT(Tabela1[[#This Row],[data]],"mmmm")</f>
        <v>luty</v>
      </c>
      <c r="J129" s="2" t="s">
        <v>2</v>
      </c>
    </row>
    <row r="130" spans="1:10">
      <c r="A130" s="1">
        <v>42055</v>
      </c>
      <c r="B130">
        <v>57</v>
      </c>
      <c r="C130">
        <v>150</v>
      </c>
      <c r="D130">
        <v>36</v>
      </c>
      <c r="E130" s="2">
        <f>SUM(Tabela1[[#This Row],[kostka]:[miał]])</f>
        <v>243</v>
      </c>
      <c r="F130" s="2">
        <f>Tabela1[[#This Row],[kostka]]*L$2</f>
        <v>39045</v>
      </c>
      <c r="G130" s="2">
        <f>Tabela1[[#This Row],[orzech]]*M$2</f>
        <v>94500</v>
      </c>
      <c r="H130" s="2">
        <f>Tabela1[[#This Row],[miał]]*N$2</f>
        <v>13680</v>
      </c>
      <c r="I130" s="2" t="str">
        <f>TEXT(Tabela1[[#This Row],[data]],"mmmm")</f>
        <v>luty</v>
      </c>
      <c r="J130" s="2" t="s">
        <v>1</v>
      </c>
    </row>
    <row r="131" spans="1:10">
      <c r="A131" s="1">
        <v>42056</v>
      </c>
      <c r="B131">
        <v>86</v>
      </c>
      <c r="C131">
        <v>183</v>
      </c>
      <c r="D131">
        <v>0</v>
      </c>
      <c r="E131" s="2">
        <f>SUM(Tabela1[[#This Row],[kostka]:[miał]])</f>
        <v>269</v>
      </c>
      <c r="F131" s="2">
        <f>Tabela1[[#This Row],[kostka]]*L$2</f>
        <v>58910</v>
      </c>
      <c r="G131" s="2">
        <f>Tabela1[[#This Row],[orzech]]*M$2</f>
        <v>115290</v>
      </c>
      <c r="H131" s="2">
        <f>Tabela1[[#This Row],[miał]]*N$2</f>
        <v>0</v>
      </c>
      <c r="I131" s="2" t="str">
        <f>TEXT(Tabela1[[#This Row],[data]],"mmmm")</f>
        <v>luty</v>
      </c>
      <c r="J131" s="2" t="s">
        <v>2</v>
      </c>
    </row>
    <row r="132" spans="1:10">
      <c r="A132" s="1">
        <v>42057</v>
      </c>
      <c r="B132">
        <v>108</v>
      </c>
      <c r="C132">
        <v>20</v>
      </c>
      <c r="D132">
        <v>87</v>
      </c>
      <c r="E132" s="2">
        <f>SUM(Tabela1[[#This Row],[kostka]:[miał]])</f>
        <v>215</v>
      </c>
      <c r="F132" s="2">
        <f>Tabela1[[#This Row],[kostka]]*L$2</f>
        <v>73980</v>
      </c>
      <c r="G132" s="2">
        <f>Tabela1[[#This Row],[orzech]]*M$2</f>
        <v>12600</v>
      </c>
      <c r="H132" s="2">
        <f>Tabela1[[#This Row],[miał]]*N$2</f>
        <v>33060</v>
      </c>
      <c r="I132" s="2" t="str">
        <f>TEXT(Tabela1[[#This Row],[data]],"mmmm")</f>
        <v>luty</v>
      </c>
      <c r="J132" s="2" t="s">
        <v>1</v>
      </c>
    </row>
    <row r="133" spans="1:10">
      <c r="A133" s="1">
        <v>42058</v>
      </c>
      <c r="B133">
        <v>102</v>
      </c>
      <c r="C133">
        <v>142</v>
      </c>
      <c r="D133">
        <v>20</v>
      </c>
      <c r="E133" s="2">
        <f>SUM(Tabela1[[#This Row],[kostka]:[miał]])</f>
        <v>264</v>
      </c>
      <c r="F133" s="2">
        <f>Tabela1[[#This Row],[kostka]]*L$2</f>
        <v>69870</v>
      </c>
      <c r="G133" s="2">
        <f>Tabela1[[#This Row],[orzech]]*M$2</f>
        <v>89460</v>
      </c>
      <c r="H133" s="2">
        <f>Tabela1[[#This Row],[miał]]*N$2</f>
        <v>7600</v>
      </c>
      <c r="I133" s="2" t="str">
        <f>TEXT(Tabela1[[#This Row],[data]],"mmmm")</f>
        <v>luty</v>
      </c>
      <c r="J133" s="2" t="s">
        <v>2</v>
      </c>
    </row>
    <row r="134" spans="1:10">
      <c r="A134" s="1">
        <v>42059</v>
      </c>
      <c r="B134">
        <v>81</v>
      </c>
      <c r="C134">
        <v>133</v>
      </c>
      <c r="D134">
        <v>25</v>
      </c>
      <c r="E134" s="2">
        <f>SUM(Tabela1[[#This Row],[kostka]:[miał]])</f>
        <v>239</v>
      </c>
      <c r="F134" s="2">
        <f>Tabela1[[#This Row],[kostka]]*L$2</f>
        <v>55485</v>
      </c>
      <c r="G134" s="2">
        <f>Tabela1[[#This Row],[orzech]]*M$2</f>
        <v>83790</v>
      </c>
      <c r="H134" s="2">
        <f>Tabela1[[#This Row],[miał]]*N$2</f>
        <v>9500</v>
      </c>
      <c r="I134" s="2" t="str">
        <f>TEXT(Tabela1[[#This Row],[data]],"mmmm")</f>
        <v>luty</v>
      </c>
      <c r="J134" s="2" t="s">
        <v>1</v>
      </c>
    </row>
    <row r="135" spans="1:10">
      <c r="A135" s="1">
        <v>42060</v>
      </c>
      <c r="B135">
        <v>59</v>
      </c>
      <c r="C135">
        <v>87</v>
      </c>
      <c r="D135">
        <v>10</v>
      </c>
      <c r="E135" s="2">
        <f>SUM(Tabela1[[#This Row],[kostka]:[miał]])</f>
        <v>156</v>
      </c>
      <c r="F135" s="2">
        <f>Tabela1[[#This Row],[kostka]]*L$2</f>
        <v>40415</v>
      </c>
      <c r="G135" s="2">
        <f>Tabela1[[#This Row],[orzech]]*M$2</f>
        <v>54810</v>
      </c>
      <c r="H135" s="2">
        <f>Tabela1[[#This Row],[miał]]*N$2</f>
        <v>3800</v>
      </c>
      <c r="I135" s="2" t="str">
        <f>TEXT(Tabela1[[#This Row],[data]],"mmmm")</f>
        <v>luty</v>
      </c>
      <c r="J135" s="2" t="s">
        <v>2</v>
      </c>
    </row>
    <row r="136" spans="1:10">
      <c r="A136" s="1">
        <v>42061</v>
      </c>
      <c r="B136">
        <v>21</v>
      </c>
      <c r="C136">
        <v>75</v>
      </c>
      <c r="D136">
        <v>65</v>
      </c>
      <c r="E136" s="2">
        <f>SUM(Tabela1[[#This Row],[kostka]:[miał]])</f>
        <v>161</v>
      </c>
      <c r="F136" s="2">
        <f>Tabela1[[#This Row],[kostka]]*L$2</f>
        <v>14385</v>
      </c>
      <c r="G136" s="2">
        <f>Tabela1[[#This Row],[orzech]]*M$2</f>
        <v>47250</v>
      </c>
      <c r="H136" s="2">
        <f>Tabela1[[#This Row],[miał]]*N$2</f>
        <v>24700</v>
      </c>
      <c r="I136" s="2" t="str">
        <f>TEXT(Tabela1[[#This Row],[data]],"mmmm")</f>
        <v>luty</v>
      </c>
      <c r="J136" s="2" t="s">
        <v>3</v>
      </c>
    </row>
    <row r="137" spans="1:10">
      <c r="A137" s="1">
        <v>42062</v>
      </c>
      <c r="B137">
        <v>79</v>
      </c>
      <c r="C137">
        <v>14</v>
      </c>
      <c r="D137">
        <v>27</v>
      </c>
      <c r="E137" s="2">
        <f>SUM(Tabela1[[#This Row],[kostka]:[miał]])</f>
        <v>120</v>
      </c>
      <c r="F137" s="2">
        <f>Tabela1[[#This Row],[kostka]]*L$2</f>
        <v>54115</v>
      </c>
      <c r="G137" s="2">
        <f>Tabela1[[#This Row],[orzech]]*M$2</f>
        <v>8820</v>
      </c>
      <c r="H137" s="2">
        <f>Tabela1[[#This Row],[miał]]*N$2</f>
        <v>10260</v>
      </c>
      <c r="I137" s="2" t="str">
        <f>TEXT(Tabela1[[#This Row],[data]],"mmmm")</f>
        <v>luty</v>
      </c>
      <c r="J137" s="2" t="s">
        <v>3</v>
      </c>
    </row>
    <row r="138" spans="1:10">
      <c r="A138" s="1">
        <v>42063</v>
      </c>
      <c r="B138">
        <v>56</v>
      </c>
      <c r="C138">
        <v>12</v>
      </c>
      <c r="D138">
        <v>25</v>
      </c>
      <c r="E138" s="2">
        <f>SUM(Tabela1[[#This Row],[kostka]:[miał]])</f>
        <v>93</v>
      </c>
      <c r="F138" s="2">
        <f>Tabela1[[#This Row],[kostka]]*L$2</f>
        <v>38360</v>
      </c>
      <c r="G138" s="2">
        <f>Tabela1[[#This Row],[orzech]]*M$2</f>
        <v>7560</v>
      </c>
      <c r="H138" s="2">
        <f>Tabela1[[#This Row],[miał]]*N$2</f>
        <v>9500</v>
      </c>
      <c r="I138" s="2" t="str">
        <f>TEXT(Tabela1[[#This Row],[data]],"mmmm")</f>
        <v>luty</v>
      </c>
      <c r="J138" s="2" t="s">
        <v>1</v>
      </c>
    </row>
    <row r="139" spans="1:10">
      <c r="A139" s="1">
        <v>42064</v>
      </c>
      <c r="B139">
        <v>195</v>
      </c>
      <c r="C139">
        <v>90</v>
      </c>
      <c r="D139">
        <v>56</v>
      </c>
      <c r="E139" s="2">
        <f>SUM(Tabela1[[#This Row],[kostka]:[miał]])</f>
        <v>341</v>
      </c>
      <c r="F139" s="2">
        <f>Tabela1[[#This Row],[kostka]]*L$2</f>
        <v>133575</v>
      </c>
      <c r="G139" s="2">
        <f>Tabela1[[#This Row],[orzech]]*M$2</f>
        <v>56700</v>
      </c>
      <c r="H139" s="2">
        <f>Tabela1[[#This Row],[miał]]*N$2</f>
        <v>21280</v>
      </c>
      <c r="I139" s="2" t="str">
        <f>TEXT(Tabela1[[#This Row],[data]],"mmmm")</f>
        <v>marzec</v>
      </c>
      <c r="J139" s="2" t="s">
        <v>1</v>
      </c>
    </row>
    <row r="140" spans="1:10">
      <c r="A140" s="1">
        <v>42065</v>
      </c>
      <c r="B140">
        <v>113</v>
      </c>
      <c r="C140">
        <v>90</v>
      </c>
      <c r="D140">
        <v>24</v>
      </c>
      <c r="E140" s="2">
        <f>SUM(Tabela1[[#This Row],[kostka]:[miał]])</f>
        <v>227</v>
      </c>
      <c r="F140" s="2">
        <f>Tabela1[[#This Row],[kostka]]*L$2</f>
        <v>77405</v>
      </c>
      <c r="G140" s="2">
        <f>Tabela1[[#This Row],[orzech]]*M$2</f>
        <v>56700</v>
      </c>
      <c r="H140" s="2">
        <f>Tabela1[[#This Row],[miał]]*N$2</f>
        <v>9120</v>
      </c>
      <c r="I140" s="2" t="str">
        <f>TEXT(Tabela1[[#This Row],[data]],"mmmm")</f>
        <v>marzec</v>
      </c>
      <c r="J140" s="2" t="s">
        <v>2</v>
      </c>
    </row>
    <row r="141" spans="1:10">
      <c r="A141" s="1">
        <v>42066</v>
      </c>
      <c r="B141">
        <v>93</v>
      </c>
      <c r="C141">
        <v>139</v>
      </c>
      <c r="D141">
        <v>47</v>
      </c>
      <c r="E141" s="2">
        <f>SUM(Tabela1[[#This Row],[kostka]:[miał]])</f>
        <v>279</v>
      </c>
      <c r="F141" s="2">
        <f>Tabela1[[#This Row],[kostka]]*L$2</f>
        <v>63705</v>
      </c>
      <c r="G141" s="2">
        <f>Tabela1[[#This Row],[orzech]]*M$2</f>
        <v>87570</v>
      </c>
      <c r="H141" s="2">
        <f>Tabela1[[#This Row],[miał]]*N$2</f>
        <v>17860</v>
      </c>
      <c r="I141" s="2" t="str">
        <f>TEXT(Tabela1[[#This Row],[data]],"mmmm")</f>
        <v>marzec</v>
      </c>
      <c r="J141" s="2" t="s">
        <v>1</v>
      </c>
    </row>
    <row r="142" spans="1:10">
      <c r="A142" s="1">
        <v>42067</v>
      </c>
      <c r="B142">
        <v>93</v>
      </c>
      <c r="C142">
        <v>147</v>
      </c>
      <c r="D142">
        <v>26</v>
      </c>
      <c r="E142" s="2">
        <f>SUM(Tabela1[[#This Row],[kostka]:[miał]])</f>
        <v>266</v>
      </c>
      <c r="F142" s="2">
        <f>Tabela1[[#This Row],[kostka]]*L$2</f>
        <v>63705</v>
      </c>
      <c r="G142" s="2">
        <f>Tabela1[[#This Row],[orzech]]*M$2</f>
        <v>92610</v>
      </c>
      <c r="H142" s="2">
        <f>Tabela1[[#This Row],[miał]]*N$2</f>
        <v>9880</v>
      </c>
      <c r="I142" s="2" t="str">
        <f>TEXT(Tabela1[[#This Row],[data]],"mmmm")</f>
        <v>marzec</v>
      </c>
      <c r="J142" s="2" t="s">
        <v>2</v>
      </c>
    </row>
    <row r="143" spans="1:10">
      <c r="A143" s="1">
        <v>42068</v>
      </c>
      <c r="B143">
        <v>79</v>
      </c>
      <c r="C143">
        <v>145</v>
      </c>
      <c r="D143">
        <v>36</v>
      </c>
      <c r="E143" s="2">
        <f>SUM(Tabela1[[#This Row],[kostka]:[miał]])</f>
        <v>260</v>
      </c>
      <c r="F143" s="2">
        <f>Tabela1[[#This Row],[kostka]]*L$2</f>
        <v>54115</v>
      </c>
      <c r="G143" s="2">
        <f>Tabela1[[#This Row],[orzech]]*M$2</f>
        <v>91350</v>
      </c>
      <c r="H143" s="2">
        <f>Tabela1[[#This Row],[miał]]*N$2</f>
        <v>13680</v>
      </c>
      <c r="I143" s="2" t="str">
        <f>TEXT(Tabela1[[#This Row],[data]],"mmmm")</f>
        <v>marzec</v>
      </c>
      <c r="J143" s="2" t="s">
        <v>1</v>
      </c>
    </row>
    <row r="144" spans="1:10">
      <c r="A144" s="1">
        <v>42069</v>
      </c>
      <c r="B144">
        <v>148</v>
      </c>
      <c r="C144">
        <v>127</v>
      </c>
      <c r="D144">
        <v>27</v>
      </c>
      <c r="E144" s="2">
        <f>SUM(Tabela1[[#This Row],[kostka]:[miał]])</f>
        <v>302</v>
      </c>
      <c r="F144" s="2">
        <f>Tabela1[[#This Row],[kostka]]*L$2</f>
        <v>101380</v>
      </c>
      <c r="G144" s="2">
        <f>Tabela1[[#This Row],[orzech]]*M$2</f>
        <v>80010</v>
      </c>
      <c r="H144" s="2">
        <f>Tabela1[[#This Row],[miał]]*N$2</f>
        <v>10260</v>
      </c>
      <c r="I144" s="2" t="str">
        <f>TEXT(Tabela1[[#This Row],[data]],"mmmm")</f>
        <v>marzec</v>
      </c>
      <c r="J144" s="2" t="s">
        <v>2</v>
      </c>
    </row>
    <row r="145" spans="1:10">
      <c r="A145" s="1">
        <v>42070</v>
      </c>
      <c r="B145">
        <v>132</v>
      </c>
      <c r="C145">
        <v>128</v>
      </c>
      <c r="D145">
        <v>37</v>
      </c>
      <c r="E145" s="2">
        <f>SUM(Tabela1[[#This Row],[kostka]:[miał]])</f>
        <v>297</v>
      </c>
      <c r="F145" s="2">
        <f>Tabela1[[#This Row],[kostka]]*L$2</f>
        <v>90420</v>
      </c>
      <c r="G145" s="2">
        <f>Tabela1[[#This Row],[orzech]]*M$2</f>
        <v>80640</v>
      </c>
      <c r="H145" s="2">
        <f>Tabela1[[#This Row],[miał]]*N$2</f>
        <v>14060</v>
      </c>
      <c r="I145" s="2" t="str">
        <f>TEXT(Tabela1[[#This Row],[data]],"mmmm")</f>
        <v>marzec</v>
      </c>
      <c r="J145" s="2" t="s">
        <v>1</v>
      </c>
    </row>
    <row r="146" spans="1:10">
      <c r="A146" s="1">
        <v>42071</v>
      </c>
      <c r="B146">
        <v>22</v>
      </c>
      <c r="C146">
        <v>115</v>
      </c>
      <c r="D146">
        <v>28</v>
      </c>
      <c r="E146" s="2">
        <f>SUM(Tabela1[[#This Row],[kostka]:[miał]])</f>
        <v>165</v>
      </c>
      <c r="F146" s="2">
        <f>Tabela1[[#This Row],[kostka]]*L$2</f>
        <v>15070</v>
      </c>
      <c r="G146" s="2">
        <f>Tabela1[[#This Row],[orzech]]*M$2</f>
        <v>72450</v>
      </c>
      <c r="H146" s="2">
        <f>Tabela1[[#This Row],[miał]]*N$2</f>
        <v>10640</v>
      </c>
      <c r="I146" s="2" t="str">
        <f>TEXT(Tabela1[[#This Row],[data]],"mmmm")</f>
        <v>marzec</v>
      </c>
      <c r="J146" s="2" t="s">
        <v>2</v>
      </c>
    </row>
    <row r="147" spans="1:10">
      <c r="A147" s="1">
        <v>42072</v>
      </c>
      <c r="B147">
        <v>50</v>
      </c>
      <c r="C147">
        <v>99</v>
      </c>
      <c r="D147">
        <v>78</v>
      </c>
      <c r="E147" s="2">
        <f>SUM(Tabela1[[#This Row],[kostka]:[miał]])</f>
        <v>227</v>
      </c>
      <c r="F147" s="2">
        <f>Tabela1[[#This Row],[kostka]]*L$2</f>
        <v>34250</v>
      </c>
      <c r="G147" s="2">
        <f>Tabela1[[#This Row],[orzech]]*M$2</f>
        <v>62370</v>
      </c>
      <c r="H147" s="2">
        <f>Tabela1[[#This Row],[miał]]*N$2</f>
        <v>29640</v>
      </c>
      <c r="I147" s="2" t="str">
        <f>TEXT(Tabela1[[#This Row],[data]],"mmmm")</f>
        <v>marzec</v>
      </c>
      <c r="J147" s="2" t="s">
        <v>3</v>
      </c>
    </row>
    <row r="148" spans="1:10">
      <c r="A148" s="1">
        <v>42073</v>
      </c>
      <c r="B148">
        <v>178</v>
      </c>
      <c r="C148">
        <v>146</v>
      </c>
      <c r="D148">
        <v>75</v>
      </c>
      <c r="E148" s="2">
        <f>SUM(Tabela1[[#This Row],[kostka]:[miał]])</f>
        <v>399</v>
      </c>
      <c r="F148" s="2">
        <f>Tabela1[[#This Row],[kostka]]*L$2</f>
        <v>121930</v>
      </c>
      <c r="G148" s="2">
        <f>Tabela1[[#This Row],[orzech]]*M$2</f>
        <v>91980</v>
      </c>
      <c r="H148" s="2">
        <f>Tabela1[[#This Row],[miał]]*N$2</f>
        <v>28500</v>
      </c>
      <c r="I148" s="2" t="str">
        <f>TEXT(Tabela1[[#This Row],[data]],"mmmm")</f>
        <v>marzec</v>
      </c>
      <c r="J148" s="2" t="s">
        <v>1</v>
      </c>
    </row>
    <row r="149" spans="1:10">
      <c r="A149" s="1">
        <v>42074</v>
      </c>
      <c r="B149">
        <v>97</v>
      </c>
      <c r="C149">
        <v>135</v>
      </c>
      <c r="D149">
        <v>66</v>
      </c>
      <c r="E149" s="2">
        <f>SUM(Tabela1[[#This Row],[kostka]:[miał]])</f>
        <v>298</v>
      </c>
      <c r="F149" s="2">
        <f>Tabela1[[#This Row],[kostka]]*L$2</f>
        <v>66445</v>
      </c>
      <c r="G149" s="2">
        <f>Tabela1[[#This Row],[orzech]]*M$2</f>
        <v>85050</v>
      </c>
      <c r="H149" s="2">
        <f>Tabela1[[#This Row],[miał]]*N$2</f>
        <v>25080</v>
      </c>
      <c r="I149" s="2" t="str">
        <f>TEXT(Tabela1[[#This Row],[data]],"mmmm")</f>
        <v>marzec</v>
      </c>
      <c r="J149" s="2" t="s">
        <v>1</v>
      </c>
    </row>
    <row r="150" spans="1:10">
      <c r="A150" s="1">
        <v>42075</v>
      </c>
      <c r="B150">
        <v>138</v>
      </c>
      <c r="C150">
        <v>160</v>
      </c>
      <c r="D150">
        <v>6</v>
      </c>
      <c r="E150" s="2">
        <f>SUM(Tabela1[[#This Row],[kostka]:[miał]])</f>
        <v>304</v>
      </c>
      <c r="F150" s="2">
        <f>Tabela1[[#This Row],[kostka]]*L$2</f>
        <v>94530</v>
      </c>
      <c r="G150" s="2">
        <f>Tabela1[[#This Row],[orzech]]*M$2</f>
        <v>100800</v>
      </c>
      <c r="H150" s="2">
        <f>Tabela1[[#This Row],[miał]]*N$2</f>
        <v>2280</v>
      </c>
      <c r="I150" s="2" t="str">
        <f>TEXT(Tabela1[[#This Row],[data]],"mmmm")</f>
        <v>marzec</v>
      </c>
      <c r="J150" s="2" t="s">
        <v>2</v>
      </c>
    </row>
    <row r="151" spans="1:10">
      <c r="A151" s="1">
        <v>42076</v>
      </c>
      <c r="B151">
        <v>194</v>
      </c>
      <c r="C151">
        <v>87</v>
      </c>
      <c r="D151">
        <v>60</v>
      </c>
      <c r="E151" s="2">
        <f>SUM(Tabela1[[#This Row],[kostka]:[miał]])</f>
        <v>341</v>
      </c>
      <c r="F151" s="2">
        <f>Tabela1[[#This Row],[kostka]]*L$2</f>
        <v>132890</v>
      </c>
      <c r="G151" s="2">
        <f>Tabela1[[#This Row],[orzech]]*M$2</f>
        <v>54810</v>
      </c>
      <c r="H151" s="2">
        <f>Tabela1[[#This Row],[miał]]*N$2</f>
        <v>22800</v>
      </c>
      <c r="I151" s="2" t="str">
        <f>TEXT(Tabela1[[#This Row],[data]],"mmmm")</f>
        <v>marzec</v>
      </c>
      <c r="J151" s="2" t="s">
        <v>1</v>
      </c>
    </row>
    <row r="152" spans="1:10">
      <c r="A152" s="1">
        <v>42077</v>
      </c>
      <c r="B152">
        <v>86</v>
      </c>
      <c r="C152">
        <v>21</v>
      </c>
      <c r="D152">
        <v>45</v>
      </c>
      <c r="E152" s="2">
        <f>SUM(Tabela1[[#This Row],[kostka]:[miał]])</f>
        <v>152</v>
      </c>
      <c r="F152" s="2">
        <f>Tabela1[[#This Row],[kostka]]*L$2</f>
        <v>58910</v>
      </c>
      <c r="G152" s="2">
        <f>Tabela1[[#This Row],[orzech]]*M$2</f>
        <v>13230</v>
      </c>
      <c r="H152" s="2">
        <f>Tabela1[[#This Row],[miał]]*N$2</f>
        <v>17100</v>
      </c>
      <c r="I152" s="2" t="str">
        <f>TEXT(Tabela1[[#This Row],[data]],"mmmm")</f>
        <v>marzec</v>
      </c>
      <c r="J152" s="2" t="s">
        <v>1</v>
      </c>
    </row>
    <row r="153" spans="1:10">
      <c r="A153" s="1">
        <v>42078</v>
      </c>
      <c r="B153">
        <v>26</v>
      </c>
      <c r="C153">
        <v>60</v>
      </c>
      <c r="D153">
        <v>44</v>
      </c>
      <c r="E153" s="2">
        <f>SUM(Tabela1[[#This Row],[kostka]:[miał]])</f>
        <v>130</v>
      </c>
      <c r="F153" s="2">
        <f>Tabela1[[#This Row],[kostka]]*L$2</f>
        <v>17810</v>
      </c>
      <c r="G153" s="2">
        <f>Tabela1[[#This Row],[orzech]]*M$2</f>
        <v>37800</v>
      </c>
      <c r="H153" s="2">
        <f>Tabela1[[#This Row],[miał]]*N$2</f>
        <v>16720</v>
      </c>
      <c r="I153" s="2" t="str">
        <f>TEXT(Tabela1[[#This Row],[data]],"mmmm")</f>
        <v>marzec</v>
      </c>
      <c r="J153" s="2" t="s">
        <v>2</v>
      </c>
    </row>
    <row r="154" spans="1:10">
      <c r="A154" s="1">
        <v>42079</v>
      </c>
      <c r="B154">
        <v>28</v>
      </c>
      <c r="C154">
        <v>35</v>
      </c>
      <c r="D154">
        <v>96</v>
      </c>
      <c r="E154" s="2">
        <f>SUM(Tabela1[[#This Row],[kostka]:[miał]])</f>
        <v>159</v>
      </c>
      <c r="F154" s="2">
        <f>Tabela1[[#This Row],[kostka]]*L$2</f>
        <v>19180</v>
      </c>
      <c r="G154" s="2">
        <f>Tabela1[[#This Row],[orzech]]*M$2</f>
        <v>22050</v>
      </c>
      <c r="H154" s="2">
        <f>Tabela1[[#This Row],[miał]]*N$2</f>
        <v>36480</v>
      </c>
      <c r="I154" s="2" t="str">
        <f>TEXT(Tabela1[[#This Row],[data]],"mmmm")</f>
        <v>marzec</v>
      </c>
      <c r="J154" s="2" t="s">
        <v>2</v>
      </c>
    </row>
    <row r="155" spans="1:10">
      <c r="A155" s="1">
        <v>42080</v>
      </c>
      <c r="B155">
        <v>53</v>
      </c>
      <c r="C155">
        <v>100</v>
      </c>
      <c r="D155">
        <v>64</v>
      </c>
      <c r="E155" s="2">
        <f>SUM(Tabela1[[#This Row],[kostka]:[miał]])</f>
        <v>217</v>
      </c>
      <c r="F155" s="2">
        <f>Tabela1[[#This Row],[kostka]]*L$2</f>
        <v>36305</v>
      </c>
      <c r="G155" s="2">
        <f>Tabela1[[#This Row],[orzech]]*M$2</f>
        <v>63000</v>
      </c>
      <c r="H155" s="2">
        <f>Tabela1[[#This Row],[miał]]*N$2</f>
        <v>24320</v>
      </c>
      <c r="I155" s="2" t="str">
        <f>TEXT(Tabela1[[#This Row],[data]],"mmmm")</f>
        <v>marzec</v>
      </c>
      <c r="J155" s="2" t="s">
        <v>3</v>
      </c>
    </row>
    <row r="156" spans="1:10">
      <c r="A156" s="1">
        <v>42081</v>
      </c>
      <c r="B156">
        <v>168</v>
      </c>
      <c r="C156">
        <v>64</v>
      </c>
      <c r="D156">
        <v>46</v>
      </c>
      <c r="E156" s="2">
        <f>SUM(Tabela1[[#This Row],[kostka]:[miał]])</f>
        <v>278</v>
      </c>
      <c r="F156" s="2">
        <f>Tabela1[[#This Row],[kostka]]*L$2</f>
        <v>115080</v>
      </c>
      <c r="G156" s="2">
        <f>Tabela1[[#This Row],[orzech]]*M$2</f>
        <v>40320</v>
      </c>
      <c r="H156" s="2">
        <f>Tabela1[[#This Row],[miał]]*N$2</f>
        <v>17480</v>
      </c>
      <c r="I156" s="2" t="str">
        <f>TEXT(Tabela1[[#This Row],[data]],"mmmm")</f>
        <v>marzec</v>
      </c>
      <c r="J156" s="2" t="s">
        <v>1</v>
      </c>
    </row>
    <row r="157" spans="1:10">
      <c r="A157" s="1">
        <v>42082</v>
      </c>
      <c r="B157">
        <v>77</v>
      </c>
      <c r="C157">
        <v>60</v>
      </c>
      <c r="D157">
        <v>35</v>
      </c>
      <c r="E157" s="2">
        <f>SUM(Tabela1[[#This Row],[kostka]:[miał]])</f>
        <v>172</v>
      </c>
      <c r="F157" s="2">
        <f>Tabela1[[#This Row],[kostka]]*L$2</f>
        <v>52745</v>
      </c>
      <c r="G157" s="2">
        <f>Tabela1[[#This Row],[orzech]]*M$2</f>
        <v>37800</v>
      </c>
      <c r="H157" s="2">
        <f>Tabela1[[#This Row],[miał]]*N$2</f>
        <v>13300</v>
      </c>
      <c r="I157" s="2" t="str">
        <f>TEXT(Tabela1[[#This Row],[data]],"mmmm")</f>
        <v>marzec</v>
      </c>
      <c r="J157" s="2" t="s">
        <v>1</v>
      </c>
    </row>
    <row r="158" spans="1:10">
      <c r="A158" s="1">
        <v>42083</v>
      </c>
      <c r="B158">
        <v>17</v>
      </c>
      <c r="C158">
        <v>80</v>
      </c>
      <c r="D158">
        <v>30</v>
      </c>
      <c r="E158" s="2">
        <f>SUM(Tabela1[[#This Row],[kostka]:[miał]])</f>
        <v>127</v>
      </c>
      <c r="F158" s="2">
        <f>Tabela1[[#This Row],[kostka]]*L$2</f>
        <v>11645</v>
      </c>
      <c r="G158" s="2">
        <f>Tabela1[[#This Row],[orzech]]*M$2</f>
        <v>50400</v>
      </c>
      <c r="H158" s="2">
        <f>Tabela1[[#This Row],[miał]]*N$2</f>
        <v>11400</v>
      </c>
      <c r="I158" s="2" t="str">
        <f>TEXT(Tabela1[[#This Row],[data]],"mmmm")</f>
        <v>marzec</v>
      </c>
      <c r="J158" s="2" t="s">
        <v>2</v>
      </c>
    </row>
    <row r="159" spans="1:10">
      <c r="A159" s="1">
        <v>42084</v>
      </c>
      <c r="B159">
        <v>175</v>
      </c>
      <c r="C159">
        <v>47</v>
      </c>
      <c r="D159">
        <v>25</v>
      </c>
      <c r="E159" s="2">
        <f>SUM(Tabela1[[#This Row],[kostka]:[miał]])</f>
        <v>247</v>
      </c>
      <c r="F159" s="2">
        <f>Tabela1[[#This Row],[kostka]]*L$2</f>
        <v>119875</v>
      </c>
      <c r="G159" s="2">
        <f>Tabela1[[#This Row],[orzech]]*M$2</f>
        <v>29610</v>
      </c>
      <c r="H159" s="2">
        <f>Tabela1[[#This Row],[miał]]*N$2</f>
        <v>9500</v>
      </c>
      <c r="I159" s="2" t="str">
        <f>TEXT(Tabela1[[#This Row],[data]],"mmmm")</f>
        <v>marzec</v>
      </c>
      <c r="J159" s="2" t="s">
        <v>1</v>
      </c>
    </row>
    <row r="160" spans="1:10">
      <c r="A160" s="1">
        <v>42085</v>
      </c>
      <c r="B160">
        <v>164</v>
      </c>
      <c r="C160">
        <v>60</v>
      </c>
      <c r="D160">
        <v>22</v>
      </c>
      <c r="E160" s="2">
        <f>SUM(Tabela1[[#This Row],[kostka]:[miał]])</f>
        <v>246</v>
      </c>
      <c r="F160" s="2">
        <f>Tabela1[[#This Row],[kostka]]*L$2</f>
        <v>112340</v>
      </c>
      <c r="G160" s="2">
        <f>Tabela1[[#This Row],[orzech]]*M$2</f>
        <v>37800</v>
      </c>
      <c r="H160" s="2">
        <f>Tabela1[[#This Row],[miał]]*N$2</f>
        <v>8360</v>
      </c>
      <c r="I160" s="2" t="str">
        <f>TEXT(Tabela1[[#This Row],[data]],"mmmm")</f>
        <v>marzec</v>
      </c>
      <c r="J160" s="2" t="s">
        <v>3</v>
      </c>
    </row>
    <row r="161" spans="1:10">
      <c r="A161" s="1">
        <v>42086</v>
      </c>
      <c r="B161">
        <v>199</v>
      </c>
      <c r="C161">
        <v>80</v>
      </c>
      <c r="D161">
        <v>45</v>
      </c>
      <c r="E161" s="2">
        <f>SUM(Tabela1[[#This Row],[kostka]:[miał]])</f>
        <v>324</v>
      </c>
      <c r="F161" s="2">
        <f>Tabela1[[#This Row],[kostka]]*L$2</f>
        <v>136315</v>
      </c>
      <c r="G161" s="2">
        <f>Tabela1[[#This Row],[orzech]]*M$2</f>
        <v>50400</v>
      </c>
      <c r="H161" s="2">
        <f>Tabela1[[#This Row],[miał]]*N$2</f>
        <v>17100</v>
      </c>
      <c r="I161" s="2" t="str">
        <f>TEXT(Tabela1[[#This Row],[data]],"mmmm")</f>
        <v>marzec</v>
      </c>
      <c r="J161" s="2" t="s">
        <v>1</v>
      </c>
    </row>
    <row r="162" spans="1:10">
      <c r="A162" s="1">
        <v>42087</v>
      </c>
      <c r="B162">
        <v>111</v>
      </c>
      <c r="C162">
        <v>92</v>
      </c>
      <c r="D162">
        <v>45</v>
      </c>
      <c r="E162" s="2">
        <f>SUM(Tabela1[[#This Row],[kostka]:[miał]])</f>
        <v>248</v>
      </c>
      <c r="F162" s="2">
        <f>Tabela1[[#This Row],[kostka]]*L$2</f>
        <v>76035</v>
      </c>
      <c r="G162" s="2">
        <f>Tabela1[[#This Row],[orzech]]*M$2</f>
        <v>57960</v>
      </c>
      <c r="H162" s="2">
        <f>Tabela1[[#This Row],[miał]]*N$2</f>
        <v>17100</v>
      </c>
      <c r="I162" s="2" t="str">
        <f>TEXT(Tabela1[[#This Row],[data]],"mmmm")</f>
        <v>marzec</v>
      </c>
      <c r="J162" s="2" t="s">
        <v>1</v>
      </c>
    </row>
    <row r="163" spans="1:10">
      <c r="A163" s="1">
        <v>42088</v>
      </c>
      <c r="B163">
        <v>58</v>
      </c>
      <c r="C163">
        <v>90</v>
      </c>
      <c r="D163">
        <v>40</v>
      </c>
      <c r="E163" s="2">
        <f>SUM(Tabela1[[#This Row],[kostka]:[miał]])</f>
        <v>188</v>
      </c>
      <c r="F163" s="2">
        <f>Tabela1[[#This Row],[kostka]]*L$2</f>
        <v>39730</v>
      </c>
      <c r="G163" s="2">
        <f>Tabela1[[#This Row],[orzech]]*M$2</f>
        <v>56700</v>
      </c>
      <c r="H163" s="2">
        <f>Tabela1[[#This Row],[miał]]*N$2</f>
        <v>15200</v>
      </c>
      <c r="I163" s="2" t="str">
        <f>TEXT(Tabela1[[#This Row],[data]],"mmmm")</f>
        <v>marzec</v>
      </c>
      <c r="J163" s="2" t="s">
        <v>2</v>
      </c>
    </row>
    <row r="164" spans="1:10">
      <c r="A164" s="1">
        <v>42089</v>
      </c>
      <c r="B164">
        <v>59</v>
      </c>
      <c r="C164">
        <v>164</v>
      </c>
      <c r="D164">
        <v>47</v>
      </c>
      <c r="E164" s="2">
        <f>SUM(Tabela1[[#This Row],[kostka]:[miał]])</f>
        <v>270</v>
      </c>
      <c r="F164" s="2">
        <f>Tabela1[[#This Row],[kostka]]*L$2</f>
        <v>40415</v>
      </c>
      <c r="G164" s="2">
        <f>Tabela1[[#This Row],[orzech]]*M$2</f>
        <v>103320</v>
      </c>
      <c r="H164" s="2">
        <f>Tabela1[[#This Row],[miał]]*N$2</f>
        <v>17860</v>
      </c>
      <c r="I164" s="2" t="str">
        <f>TEXT(Tabela1[[#This Row],[data]],"mmmm")</f>
        <v>marzec</v>
      </c>
      <c r="J164" s="2" t="s">
        <v>2</v>
      </c>
    </row>
    <row r="165" spans="1:10">
      <c r="A165" s="1">
        <v>42090</v>
      </c>
      <c r="B165">
        <v>158</v>
      </c>
      <c r="C165">
        <v>120</v>
      </c>
      <c r="D165">
        <v>30</v>
      </c>
      <c r="E165" s="2">
        <f>SUM(Tabela1[[#This Row],[kostka]:[miał]])</f>
        <v>308</v>
      </c>
      <c r="F165" s="2">
        <f>Tabela1[[#This Row],[kostka]]*L$2</f>
        <v>108230</v>
      </c>
      <c r="G165" s="2">
        <f>Tabela1[[#This Row],[orzech]]*M$2</f>
        <v>75600</v>
      </c>
      <c r="H165" s="2">
        <f>Tabela1[[#This Row],[miał]]*N$2</f>
        <v>11400</v>
      </c>
      <c r="I165" s="2" t="str">
        <f>TEXT(Tabela1[[#This Row],[data]],"mmmm")</f>
        <v>marzec</v>
      </c>
      <c r="J165" s="2" t="s">
        <v>1</v>
      </c>
    </row>
    <row r="166" spans="1:10">
      <c r="A166" s="1">
        <v>42091</v>
      </c>
      <c r="B166">
        <v>84</v>
      </c>
      <c r="C166">
        <v>90</v>
      </c>
      <c r="D166">
        <v>30</v>
      </c>
      <c r="E166" s="2">
        <f>SUM(Tabela1[[#This Row],[kostka]:[miał]])</f>
        <v>204</v>
      </c>
      <c r="F166" s="2">
        <f>Tabela1[[#This Row],[kostka]]*L$2</f>
        <v>57540</v>
      </c>
      <c r="G166" s="2">
        <f>Tabela1[[#This Row],[orzech]]*M$2</f>
        <v>56700</v>
      </c>
      <c r="H166" s="2">
        <f>Tabela1[[#This Row],[miał]]*N$2</f>
        <v>11400</v>
      </c>
      <c r="I166" s="2" t="str">
        <f>TEXT(Tabela1[[#This Row],[data]],"mmmm")</f>
        <v>marzec</v>
      </c>
      <c r="J166" s="2" t="s">
        <v>1</v>
      </c>
    </row>
    <row r="167" spans="1:10">
      <c r="A167" s="1">
        <v>42092</v>
      </c>
      <c r="B167">
        <v>64</v>
      </c>
      <c r="C167">
        <v>61</v>
      </c>
      <c r="D167">
        <v>60</v>
      </c>
      <c r="E167" s="2">
        <f>SUM(Tabela1[[#This Row],[kostka]:[miał]])</f>
        <v>185</v>
      </c>
      <c r="F167" s="2">
        <f>Tabela1[[#This Row],[kostka]]*L$2</f>
        <v>43840</v>
      </c>
      <c r="G167" s="2">
        <f>Tabela1[[#This Row],[orzech]]*M$2</f>
        <v>38430</v>
      </c>
      <c r="H167" s="2">
        <f>Tabela1[[#This Row],[miał]]*N$2</f>
        <v>22800</v>
      </c>
      <c r="I167" s="2" t="str">
        <f>TEXT(Tabela1[[#This Row],[data]],"mmmm")</f>
        <v>marzec</v>
      </c>
      <c r="J167" s="2" t="s">
        <v>2</v>
      </c>
    </row>
    <row r="168" spans="1:10">
      <c r="A168" s="1">
        <v>42093</v>
      </c>
      <c r="B168">
        <v>125</v>
      </c>
      <c r="C168">
        <v>84</v>
      </c>
      <c r="D168">
        <v>40</v>
      </c>
      <c r="E168" s="2">
        <f>SUM(Tabela1[[#This Row],[kostka]:[miał]])</f>
        <v>249</v>
      </c>
      <c r="F168" s="2">
        <f>Tabela1[[#This Row],[kostka]]*L$2</f>
        <v>85625</v>
      </c>
      <c r="G168" s="2">
        <f>Tabela1[[#This Row],[orzech]]*M$2</f>
        <v>52920</v>
      </c>
      <c r="H168" s="2">
        <f>Tabela1[[#This Row],[miał]]*N$2</f>
        <v>15200</v>
      </c>
      <c r="I168" s="2" t="str">
        <f>TEXT(Tabela1[[#This Row],[data]],"mmmm")</f>
        <v>marzec</v>
      </c>
      <c r="J168" s="2" t="s">
        <v>1</v>
      </c>
    </row>
    <row r="169" spans="1:10">
      <c r="A169" s="1">
        <v>42094</v>
      </c>
      <c r="B169">
        <v>148</v>
      </c>
      <c r="C169">
        <v>110</v>
      </c>
      <c r="D169">
        <v>50</v>
      </c>
      <c r="E169" s="2">
        <f>SUM(Tabela1[[#This Row],[kostka]:[miał]])</f>
        <v>308</v>
      </c>
      <c r="F169" s="2">
        <f>Tabela1[[#This Row],[kostka]]*L$2</f>
        <v>101380</v>
      </c>
      <c r="G169" s="2">
        <f>Tabela1[[#This Row],[orzech]]*M$2</f>
        <v>69300</v>
      </c>
      <c r="H169" s="2">
        <f>Tabela1[[#This Row],[miał]]*N$2</f>
        <v>19000</v>
      </c>
      <c r="I169" s="2" t="str">
        <f>TEXT(Tabela1[[#This Row],[data]],"mmmm")</f>
        <v>marzec</v>
      </c>
      <c r="J169" s="2" t="s">
        <v>2</v>
      </c>
    </row>
    <row r="170" spans="1:10">
      <c r="A170" s="1">
        <v>42095</v>
      </c>
      <c r="B170">
        <v>172</v>
      </c>
      <c r="C170">
        <v>100</v>
      </c>
      <c r="D170">
        <v>30</v>
      </c>
      <c r="E170" s="2">
        <f>SUM(Tabela1[[#This Row],[kostka]:[miał]])</f>
        <v>302</v>
      </c>
      <c r="F170" s="2">
        <f>Tabela1[[#This Row],[kostka]]*L$2</f>
        <v>117820</v>
      </c>
      <c r="G170" s="2">
        <f>Tabela1[[#This Row],[orzech]]*M$2</f>
        <v>63000</v>
      </c>
      <c r="H170" s="2">
        <f>Tabela1[[#This Row],[miał]]*N$2</f>
        <v>11400</v>
      </c>
      <c r="I170" s="2" t="str">
        <f>TEXT(Tabela1[[#This Row],[data]],"mmmm")</f>
        <v>kwiecień</v>
      </c>
      <c r="J170" s="2" t="s">
        <v>1</v>
      </c>
    </row>
    <row r="171" spans="1:10">
      <c r="A171" s="1">
        <v>42096</v>
      </c>
      <c r="B171">
        <v>103</v>
      </c>
      <c r="C171">
        <v>60</v>
      </c>
      <c r="D171">
        <v>40</v>
      </c>
      <c r="E171" s="2">
        <f>SUM(Tabela1[[#This Row],[kostka]:[miał]])</f>
        <v>203</v>
      </c>
      <c r="F171" s="2">
        <f>Tabela1[[#This Row],[kostka]]*L$2</f>
        <v>70555</v>
      </c>
      <c r="G171" s="2">
        <f>Tabela1[[#This Row],[orzech]]*M$2</f>
        <v>37800</v>
      </c>
      <c r="H171" s="2">
        <f>Tabela1[[#This Row],[miał]]*N$2</f>
        <v>15200</v>
      </c>
      <c r="I171" s="2" t="str">
        <f>TEXT(Tabela1[[#This Row],[data]],"mmmm")</f>
        <v>kwiecień</v>
      </c>
      <c r="J171" s="2" t="s">
        <v>1</v>
      </c>
    </row>
    <row r="172" spans="1:10">
      <c r="A172" s="1">
        <v>42097</v>
      </c>
      <c r="B172">
        <v>191</v>
      </c>
      <c r="C172">
        <v>41</v>
      </c>
      <c r="D172">
        <v>52</v>
      </c>
      <c r="E172" s="2">
        <f>SUM(Tabela1[[#This Row],[kostka]:[miał]])</f>
        <v>284</v>
      </c>
      <c r="F172" s="2">
        <f>Tabela1[[#This Row],[kostka]]*L$2</f>
        <v>130835</v>
      </c>
      <c r="G172" s="2">
        <f>Tabela1[[#This Row],[orzech]]*M$2</f>
        <v>25830</v>
      </c>
      <c r="H172" s="2">
        <f>Tabela1[[#This Row],[miał]]*N$2</f>
        <v>19760</v>
      </c>
      <c r="I172" s="2" t="str">
        <f>TEXT(Tabela1[[#This Row],[data]],"mmmm")</f>
        <v>kwiecień</v>
      </c>
      <c r="J172" s="2" t="s">
        <v>1</v>
      </c>
    </row>
    <row r="173" spans="1:10">
      <c r="A173" s="1">
        <v>42098</v>
      </c>
      <c r="B173">
        <v>128</v>
      </c>
      <c r="C173">
        <v>98</v>
      </c>
      <c r="D173">
        <v>40</v>
      </c>
      <c r="E173" s="2">
        <f>SUM(Tabela1[[#This Row],[kostka]:[miał]])</f>
        <v>266</v>
      </c>
      <c r="F173" s="2">
        <f>Tabela1[[#This Row],[kostka]]*L$2</f>
        <v>87680</v>
      </c>
      <c r="G173" s="2">
        <f>Tabela1[[#This Row],[orzech]]*M$2</f>
        <v>61740</v>
      </c>
      <c r="H173" s="2">
        <f>Tabela1[[#This Row],[miał]]*N$2</f>
        <v>15200</v>
      </c>
      <c r="I173" s="2" t="str">
        <f>TEXT(Tabela1[[#This Row],[data]],"mmmm")</f>
        <v>kwiecień</v>
      </c>
      <c r="J173" s="2" t="s">
        <v>2</v>
      </c>
    </row>
    <row r="174" spans="1:10">
      <c r="A174" s="1">
        <v>42099</v>
      </c>
      <c r="B174">
        <v>75</v>
      </c>
      <c r="C174">
        <v>87</v>
      </c>
      <c r="D174">
        <v>47</v>
      </c>
      <c r="E174" s="2">
        <f>SUM(Tabela1[[#This Row],[kostka]:[miał]])</f>
        <v>209</v>
      </c>
      <c r="F174" s="2">
        <f>Tabela1[[#This Row],[kostka]]*L$2</f>
        <v>51375</v>
      </c>
      <c r="G174" s="2">
        <f>Tabela1[[#This Row],[orzech]]*M$2</f>
        <v>54810</v>
      </c>
      <c r="H174" s="2">
        <f>Tabela1[[#This Row],[miał]]*N$2</f>
        <v>17860</v>
      </c>
      <c r="I174" s="2" t="str">
        <f>TEXT(Tabela1[[#This Row],[data]],"mmmm")</f>
        <v>kwiecień</v>
      </c>
      <c r="J174" s="2" t="s">
        <v>1</v>
      </c>
    </row>
    <row r="175" spans="1:10">
      <c r="A175" s="1">
        <v>42100</v>
      </c>
      <c r="B175">
        <v>38</v>
      </c>
      <c r="C175">
        <v>100</v>
      </c>
      <c r="D175">
        <v>50</v>
      </c>
      <c r="E175" s="2">
        <f>SUM(Tabela1[[#This Row],[kostka]:[miał]])</f>
        <v>188</v>
      </c>
      <c r="F175" s="2">
        <f>Tabela1[[#This Row],[kostka]]*L$2</f>
        <v>26030</v>
      </c>
      <c r="G175" s="2">
        <f>Tabela1[[#This Row],[orzech]]*M$2</f>
        <v>63000</v>
      </c>
      <c r="H175" s="2">
        <f>Tabela1[[#This Row],[miał]]*N$2</f>
        <v>19000</v>
      </c>
      <c r="I175" s="2" t="str">
        <f>TEXT(Tabela1[[#This Row],[data]],"mmmm")</f>
        <v>kwiecień</v>
      </c>
      <c r="J175" s="2" t="s">
        <v>2</v>
      </c>
    </row>
    <row r="176" spans="1:10">
      <c r="A176" s="1">
        <v>42101</v>
      </c>
      <c r="B176">
        <v>80</v>
      </c>
      <c r="C176">
        <v>40</v>
      </c>
      <c r="D176">
        <v>30</v>
      </c>
      <c r="E176" s="2">
        <f>SUM(Tabela1[[#This Row],[kostka]:[miał]])</f>
        <v>150</v>
      </c>
      <c r="F176" s="2">
        <f>Tabela1[[#This Row],[kostka]]*L$2</f>
        <v>54800</v>
      </c>
      <c r="G176" s="2">
        <f>Tabela1[[#This Row],[orzech]]*M$2</f>
        <v>25200</v>
      </c>
      <c r="H176" s="2">
        <f>Tabela1[[#This Row],[miał]]*N$2</f>
        <v>11400</v>
      </c>
      <c r="I176" s="2" t="str">
        <f>TEXT(Tabela1[[#This Row],[data]],"mmmm")</f>
        <v>kwiecień</v>
      </c>
      <c r="J176" s="2" t="s">
        <v>3</v>
      </c>
    </row>
    <row r="177" spans="1:10">
      <c r="A177" s="1">
        <v>42102</v>
      </c>
      <c r="B177">
        <v>55</v>
      </c>
      <c r="C177">
        <v>60</v>
      </c>
      <c r="D177">
        <v>50</v>
      </c>
      <c r="E177" s="2">
        <f>SUM(Tabela1[[#This Row],[kostka]:[miał]])</f>
        <v>165</v>
      </c>
      <c r="F177" s="2">
        <f>Tabela1[[#This Row],[kostka]]*L$2</f>
        <v>37675</v>
      </c>
      <c r="G177" s="2">
        <f>Tabela1[[#This Row],[orzech]]*M$2</f>
        <v>37800</v>
      </c>
      <c r="H177" s="2">
        <f>Tabela1[[#This Row],[miał]]*N$2</f>
        <v>19000</v>
      </c>
      <c r="I177" s="2" t="str">
        <f>TEXT(Tabela1[[#This Row],[data]],"mmmm")</f>
        <v>kwiecień</v>
      </c>
      <c r="J177" s="2" t="s">
        <v>1</v>
      </c>
    </row>
    <row r="178" spans="1:10">
      <c r="A178" s="1">
        <v>42103</v>
      </c>
      <c r="B178">
        <v>10</v>
      </c>
      <c r="C178">
        <v>80</v>
      </c>
      <c r="D178">
        <v>48</v>
      </c>
      <c r="E178" s="2">
        <f>SUM(Tabela1[[#This Row],[kostka]:[miał]])</f>
        <v>138</v>
      </c>
      <c r="F178" s="2">
        <f>Tabela1[[#This Row],[kostka]]*L$2</f>
        <v>6850</v>
      </c>
      <c r="G178" s="2">
        <f>Tabela1[[#This Row],[orzech]]*M$2</f>
        <v>50400</v>
      </c>
      <c r="H178" s="2">
        <f>Tabela1[[#This Row],[miał]]*N$2</f>
        <v>18240</v>
      </c>
      <c r="I178" s="2" t="str">
        <f>TEXT(Tabela1[[#This Row],[data]],"mmmm")</f>
        <v>kwiecień</v>
      </c>
      <c r="J178" s="2" t="s">
        <v>3</v>
      </c>
    </row>
    <row r="179" spans="1:10">
      <c r="A179" s="1">
        <v>42104</v>
      </c>
      <c r="B179">
        <v>95</v>
      </c>
      <c r="C179">
        <v>60</v>
      </c>
      <c r="D179">
        <v>51</v>
      </c>
      <c r="E179" s="2">
        <f>SUM(Tabela1[[#This Row],[kostka]:[miał]])</f>
        <v>206</v>
      </c>
      <c r="F179" s="2">
        <f>Tabela1[[#This Row],[kostka]]*L$2</f>
        <v>65075</v>
      </c>
      <c r="G179" s="2">
        <f>Tabela1[[#This Row],[orzech]]*M$2</f>
        <v>37800</v>
      </c>
      <c r="H179" s="2">
        <f>Tabela1[[#This Row],[miał]]*N$2</f>
        <v>19380</v>
      </c>
      <c r="I179" s="2" t="str">
        <f>TEXT(Tabela1[[#This Row],[data]],"mmmm")</f>
        <v>kwiecień</v>
      </c>
      <c r="J179" s="2" t="s">
        <v>2</v>
      </c>
    </row>
    <row r="180" spans="1:10">
      <c r="A180" s="1">
        <v>42105</v>
      </c>
      <c r="B180">
        <v>90</v>
      </c>
      <c r="C180">
        <v>100</v>
      </c>
      <c r="D180">
        <v>50</v>
      </c>
      <c r="E180" s="2">
        <f>SUM(Tabela1[[#This Row],[kostka]:[miał]])</f>
        <v>240</v>
      </c>
      <c r="F180" s="2">
        <f>Tabela1[[#This Row],[kostka]]*L$2</f>
        <v>61650</v>
      </c>
      <c r="G180" s="2">
        <f>Tabela1[[#This Row],[orzech]]*M$2</f>
        <v>63000</v>
      </c>
      <c r="H180" s="2">
        <f>Tabela1[[#This Row],[miał]]*N$2</f>
        <v>19000</v>
      </c>
      <c r="I180" s="2" t="str">
        <f>TEXT(Tabela1[[#This Row],[data]],"mmmm")</f>
        <v>kwiecień</v>
      </c>
      <c r="J180" s="2" t="s">
        <v>1</v>
      </c>
    </row>
    <row r="181" spans="1:10">
      <c r="A181" s="1">
        <v>42106</v>
      </c>
      <c r="B181">
        <v>186</v>
      </c>
      <c r="C181">
        <v>60</v>
      </c>
      <c r="D181">
        <v>92</v>
      </c>
      <c r="E181" s="2">
        <f>SUM(Tabela1[[#This Row],[kostka]:[miał]])</f>
        <v>338</v>
      </c>
      <c r="F181" s="2">
        <f>Tabela1[[#This Row],[kostka]]*L$2</f>
        <v>127410</v>
      </c>
      <c r="G181" s="2">
        <f>Tabela1[[#This Row],[orzech]]*M$2</f>
        <v>37800</v>
      </c>
      <c r="H181" s="2">
        <f>Tabela1[[#This Row],[miał]]*N$2</f>
        <v>34960</v>
      </c>
      <c r="I181" s="2" t="str">
        <f>TEXT(Tabela1[[#This Row],[data]],"mmmm")</f>
        <v>kwiecień</v>
      </c>
      <c r="J181" s="2" t="s">
        <v>3</v>
      </c>
    </row>
    <row r="182" spans="1:10">
      <c r="A182" s="1">
        <v>42107</v>
      </c>
      <c r="B182">
        <v>2</v>
      </c>
      <c r="C182">
        <v>40</v>
      </c>
      <c r="D182">
        <v>50</v>
      </c>
      <c r="E182" s="2">
        <f>SUM(Tabela1[[#This Row],[kostka]:[miał]])</f>
        <v>92</v>
      </c>
      <c r="F182" s="2">
        <f>Tabela1[[#This Row],[kostka]]*L$2</f>
        <v>1370</v>
      </c>
      <c r="G182" s="2">
        <f>Tabela1[[#This Row],[orzech]]*M$2</f>
        <v>25200</v>
      </c>
      <c r="H182" s="2">
        <f>Tabela1[[#This Row],[miał]]*N$2</f>
        <v>19000</v>
      </c>
      <c r="I182" s="2" t="str">
        <f>TEXT(Tabela1[[#This Row],[data]],"mmmm")</f>
        <v>kwiecień</v>
      </c>
      <c r="J182" s="2" t="s">
        <v>1</v>
      </c>
    </row>
    <row r="183" spans="1:10">
      <c r="A183" s="1">
        <v>42108</v>
      </c>
      <c r="B183">
        <v>136</v>
      </c>
      <c r="C183">
        <v>20</v>
      </c>
      <c r="D183">
        <v>66</v>
      </c>
      <c r="E183" s="2">
        <f>SUM(Tabela1[[#This Row],[kostka]:[miał]])</f>
        <v>222</v>
      </c>
      <c r="F183" s="2">
        <f>Tabela1[[#This Row],[kostka]]*L$2</f>
        <v>93160</v>
      </c>
      <c r="G183" s="2">
        <f>Tabela1[[#This Row],[orzech]]*M$2</f>
        <v>12600</v>
      </c>
      <c r="H183" s="2">
        <f>Tabela1[[#This Row],[miał]]*N$2</f>
        <v>25080</v>
      </c>
      <c r="I183" s="2" t="str">
        <f>TEXT(Tabela1[[#This Row],[data]],"mmmm")</f>
        <v>kwiecień</v>
      </c>
      <c r="J183" s="2" t="s">
        <v>3</v>
      </c>
    </row>
    <row r="184" spans="1:10">
      <c r="A184" s="1">
        <v>42109</v>
      </c>
      <c r="B184">
        <v>4</v>
      </c>
      <c r="C184">
        <v>20</v>
      </c>
      <c r="D184">
        <v>10</v>
      </c>
      <c r="E184" s="2">
        <f>SUM(Tabela1[[#This Row],[kostka]:[miał]])</f>
        <v>34</v>
      </c>
      <c r="F184" s="2">
        <f>Tabela1[[#This Row],[kostka]]*L$2</f>
        <v>2740</v>
      </c>
      <c r="G184" s="2">
        <f>Tabela1[[#This Row],[orzech]]*M$2</f>
        <v>12600</v>
      </c>
      <c r="H184" s="2">
        <f>Tabela1[[#This Row],[miał]]*N$2</f>
        <v>3800</v>
      </c>
      <c r="I184" s="2" t="str">
        <f>TEXT(Tabela1[[#This Row],[data]],"mmmm")</f>
        <v>kwiecień</v>
      </c>
      <c r="J184" s="2" t="s">
        <v>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>
      <selection activeCell="E8" sqref="E8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a b</vt:lpstr>
      <vt:lpstr>d f</vt:lpstr>
      <vt:lpstr>Arkusz1</vt:lpstr>
      <vt:lpstr>Arkusz5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2006-09-22T13:37:51Z</dcterms:created>
  <dcterms:modified xsi:type="dcterms:W3CDTF">2022-04-05T18:36:23Z</dcterms:modified>
</cp:coreProperties>
</file>